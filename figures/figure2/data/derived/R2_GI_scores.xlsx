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/>
  </mc:AlternateContent>
  <xr:revisionPtr revIDLastSave="0" documentId="13_ncr:1_{AB2DBBC1-60D5-5A4C-A005-8E18233ED38C}" xr6:coauthVersionLast="47" xr6:coauthVersionMax="47" xr10:uidLastSave="{00000000-0000-0000-0000-000000000000}"/>
  <bookViews>
    <workbookView xWindow="-20" yWindow="600" windowWidth="28800" windowHeight="16240" xr2:uid="{00000000-000D-0000-FFFF-FFFF00000000}"/>
  </bookViews>
  <sheets>
    <sheet name="GI" sheetId="1" r:id="rId1"/>
  </sheets>
  <definedNames>
    <definedName name="_xlnm._FilterDatabase" localSheetId="0" hidden="1">GI!$A$1:$S$296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6" i="1" l="1"/>
  <c r="O296" i="1"/>
  <c r="P296" i="1" s="1"/>
  <c r="Q295" i="1"/>
  <c r="O295" i="1"/>
  <c r="P295" i="1" s="1"/>
  <c r="Q294" i="1"/>
  <c r="O294" i="1"/>
  <c r="P294" i="1" s="1"/>
  <c r="Q293" i="1"/>
  <c r="O293" i="1"/>
  <c r="P293" i="1" s="1"/>
  <c r="Q292" i="1"/>
  <c r="O292" i="1"/>
  <c r="P292" i="1" s="1"/>
  <c r="Q291" i="1"/>
  <c r="O291" i="1"/>
  <c r="P291" i="1" s="1"/>
  <c r="Q290" i="1"/>
  <c r="O290" i="1"/>
  <c r="P290" i="1" s="1"/>
  <c r="Q289" i="1"/>
  <c r="O289" i="1"/>
  <c r="P289" i="1" s="1"/>
  <c r="Q288" i="1"/>
  <c r="O288" i="1"/>
  <c r="P288" i="1" s="1"/>
  <c r="Q287" i="1"/>
  <c r="O287" i="1"/>
  <c r="P287" i="1" s="1"/>
  <c r="Q286" i="1"/>
  <c r="O286" i="1"/>
  <c r="P286" i="1" s="1"/>
  <c r="Q285" i="1"/>
  <c r="O285" i="1"/>
  <c r="P285" i="1" s="1"/>
  <c r="Q284" i="1"/>
  <c r="O284" i="1"/>
  <c r="P284" i="1" s="1"/>
  <c r="Q283" i="1"/>
  <c r="O283" i="1"/>
  <c r="P283" i="1" s="1"/>
  <c r="Q282" i="1"/>
  <c r="O282" i="1"/>
  <c r="P282" i="1" s="1"/>
  <c r="Q281" i="1"/>
  <c r="O281" i="1"/>
  <c r="P281" i="1" s="1"/>
  <c r="Q280" i="1"/>
  <c r="O280" i="1"/>
  <c r="P280" i="1" s="1"/>
  <c r="Q279" i="1"/>
  <c r="O279" i="1"/>
  <c r="P279" i="1" s="1"/>
  <c r="Q278" i="1"/>
  <c r="O278" i="1"/>
  <c r="P278" i="1" s="1"/>
  <c r="Q277" i="1"/>
  <c r="O277" i="1"/>
  <c r="P277" i="1" s="1"/>
  <c r="Q276" i="1"/>
  <c r="O276" i="1"/>
  <c r="P276" i="1" s="1"/>
  <c r="Q275" i="1"/>
  <c r="O275" i="1"/>
  <c r="P275" i="1" s="1"/>
  <c r="Q274" i="1"/>
  <c r="O274" i="1"/>
  <c r="P274" i="1" s="1"/>
  <c r="Q273" i="1"/>
  <c r="O273" i="1"/>
  <c r="P273" i="1" s="1"/>
  <c r="Q272" i="1"/>
  <c r="O272" i="1"/>
  <c r="P272" i="1" s="1"/>
  <c r="Q271" i="1"/>
  <c r="O271" i="1"/>
  <c r="P271" i="1" s="1"/>
  <c r="Q270" i="1"/>
  <c r="O270" i="1"/>
  <c r="P270" i="1" s="1"/>
  <c r="Q269" i="1"/>
  <c r="O269" i="1"/>
  <c r="P269" i="1" s="1"/>
  <c r="Q268" i="1"/>
  <c r="O268" i="1"/>
  <c r="P268" i="1" s="1"/>
  <c r="Q267" i="1"/>
  <c r="O267" i="1"/>
  <c r="P267" i="1" s="1"/>
  <c r="Q266" i="1"/>
  <c r="O266" i="1"/>
  <c r="P266" i="1" s="1"/>
  <c r="Q265" i="1"/>
  <c r="O265" i="1"/>
  <c r="P265" i="1" s="1"/>
  <c r="Q264" i="1"/>
  <c r="O264" i="1"/>
  <c r="P264" i="1" s="1"/>
  <c r="Q263" i="1"/>
  <c r="O263" i="1"/>
  <c r="P263" i="1" s="1"/>
  <c r="Q262" i="1"/>
  <c r="O262" i="1"/>
  <c r="P262" i="1" s="1"/>
  <c r="Q261" i="1"/>
  <c r="O261" i="1"/>
  <c r="P261" i="1" s="1"/>
  <c r="Q260" i="1"/>
  <c r="O260" i="1"/>
  <c r="P260" i="1" s="1"/>
  <c r="Q259" i="1"/>
  <c r="O259" i="1"/>
  <c r="P259" i="1" s="1"/>
  <c r="Q258" i="1"/>
  <c r="O258" i="1"/>
  <c r="P258" i="1" s="1"/>
  <c r="Q257" i="1"/>
  <c r="O257" i="1"/>
  <c r="P257" i="1" s="1"/>
  <c r="Q256" i="1"/>
  <c r="O256" i="1"/>
  <c r="P256" i="1" s="1"/>
  <c r="Q255" i="1"/>
  <c r="O255" i="1"/>
  <c r="P255" i="1" s="1"/>
  <c r="Q254" i="1"/>
  <c r="O254" i="1"/>
  <c r="P254" i="1" s="1"/>
  <c r="Q253" i="1"/>
  <c r="O253" i="1"/>
  <c r="P253" i="1" s="1"/>
  <c r="Q252" i="1"/>
  <c r="O252" i="1"/>
  <c r="P252" i="1" s="1"/>
  <c r="Q251" i="1"/>
  <c r="O251" i="1"/>
  <c r="P251" i="1" s="1"/>
  <c r="Q250" i="1"/>
  <c r="O250" i="1"/>
  <c r="P250" i="1" s="1"/>
  <c r="Q249" i="1"/>
  <c r="O249" i="1"/>
  <c r="P249" i="1" s="1"/>
  <c r="Q248" i="1"/>
  <c r="O248" i="1"/>
  <c r="P248" i="1" s="1"/>
  <c r="Q247" i="1"/>
  <c r="O247" i="1"/>
  <c r="P247" i="1" s="1"/>
  <c r="Q246" i="1"/>
  <c r="O246" i="1"/>
  <c r="P246" i="1" s="1"/>
  <c r="Q245" i="1"/>
  <c r="O245" i="1"/>
  <c r="P245" i="1" s="1"/>
  <c r="Q244" i="1"/>
  <c r="O244" i="1"/>
  <c r="P244" i="1" s="1"/>
  <c r="Q243" i="1"/>
  <c r="O243" i="1"/>
  <c r="P243" i="1" s="1"/>
  <c r="Q242" i="1"/>
  <c r="O242" i="1"/>
  <c r="P242" i="1" s="1"/>
  <c r="Q241" i="1"/>
  <c r="O241" i="1"/>
  <c r="P241" i="1" s="1"/>
  <c r="Q240" i="1"/>
  <c r="O240" i="1"/>
  <c r="P240" i="1" s="1"/>
  <c r="Q239" i="1"/>
  <c r="O239" i="1"/>
  <c r="P239" i="1" s="1"/>
  <c r="Q238" i="1"/>
  <c r="O238" i="1"/>
  <c r="P238" i="1" s="1"/>
  <c r="Q237" i="1"/>
  <c r="O237" i="1"/>
  <c r="P237" i="1" s="1"/>
  <c r="Q236" i="1"/>
  <c r="O236" i="1"/>
  <c r="P236" i="1" s="1"/>
  <c r="Q235" i="1"/>
  <c r="O235" i="1"/>
  <c r="P235" i="1" s="1"/>
  <c r="Q234" i="1"/>
  <c r="O234" i="1"/>
  <c r="P234" i="1" s="1"/>
  <c r="Q233" i="1"/>
  <c r="O233" i="1"/>
  <c r="P233" i="1" s="1"/>
  <c r="Q232" i="1"/>
  <c r="O232" i="1"/>
  <c r="P232" i="1" s="1"/>
  <c r="Q231" i="1"/>
  <c r="O231" i="1"/>
  <c r="P231" i="1" s="1"/>
  <c r="Q230" i="1"/>
  <c r="O230" i="1"/>
  <c r="P230" i="1" s="1"/>
  <c r="Q229" i="1"/>
  <c r="O229" i="1"/>
  <c r="P229" i="1" s="1"/>
  <c r="Q228" i="1"/>
  <c r="O228" i="1"/>
  <c r="P228" i="1" s="1"/>
  <c r="Q227" i="1"/>
  <c r="O227" i="1"/>
  <c r="P227" i="1" s="1"/>
  <c r="Q226" i="1"/>
  <c r="O226" i="1"/>
  <c r="P226" i="1" s="1"/>
  <c r="Q225" i="1"/>
  <c r="O225" i="1"/>
  <c r="P225" i="1" s="1"/>
  <c r="Q224" i="1"/>
  <c r="O224" i="1"/>
  <c r="P224" i="1" s="1"/>
  <c r="Q223" i="1"/>
  <c r="O223" i="1"/>
  <c r="P223" i="1" s="1"/>
  <c r="Q222" i="1"/>
  <c r="O222" i="1"/>
  <c r="P222" i="1" s="1"/>
  <c r="Q221" i="1"/>
  <c r="O221" i="1"/>
  <c r="P221" i="1" s="1"/>
  <c r="Q220" i="1"/>
  <c r="O220" i="1"/>
  <c r="P220" i="1" s="1"/>
  <c r="Q219" i="1"/>
  <c r="O219" i="1"/>
  <c r="P219" i="1" s="1"/>
  <c r="Q218" i="1"/>
  <c r="O218" i="1"/>
  <c r="P218" i="1" s="1"/>
  <c r="Q217" i="1"/>
  <c r="O217" i="1"/>
  <c r="P217" i="1" s="1"/>
  <c r="Q216" i="1"/>
  <c r="O216" i="1"/>
  <c r="P216" i="1" s="1"/>
  <c r="Q215" i="1"/>
  <c r="O215" i="1"/>
  <c r="P215" i="1" s="1"/>
  <c r="Q214" i="1"/>
  <c r="O214" i="1"/>
  <c r="P214" i="1" s="1"/>
  <c r="Q213" i="1"/>
  <c r="O213" i="1"/>
  <c r="P213" i="1" s="1"/>
  <c r="Q212" i="1"/>
  <c r="O212" i="1"/>
  <c r="P212" i="1" s="1"/>
  <c r="Q211" i="1"/>
  <c r="O211" i="1"/>
  <c r="P211" i="1" s="1"/>
  <c r="Q210" i="1"/>
  <c r="O210" i="1"/>
  <c r="P210" i="1" s="1"/>
  <c r="Q209" i="1"/>
  <c r="O209" i="1"/>
  <c r="P209" i="1" s="1"/>
  <c r="Q208" i="1"/>
  <c r="O208" i="1"/>
  <c r="P208" i="1" s="1"/>
  <c r="Q207" i="1"/>
  <c r="O207" i="1"/>
  <c r="P207" i="1" s="1"/>
  <c r="Q206" i="1"/>
  <c r="O206" i="1"/>
  <c r="P206" i="1" s="1"/>
  <c r="Q205" i="1"/>
  <c r="O205" i="1"/>
  <c r="P205" i="1" s="1"/>
  <c r="Q204" i="1"/>
  <c r="O204" i="1"/>
  <c r="P204" i="1" s="1"/>
  <c r="Q203" i="1"/>
  <c r="O203" i="1"/>
  <c r="P203" i="1" s="1"/>
  <c r="Q202" i="1"/>
  <c r="O202" i="1"/>
  <c r="P202" i="1" s="1"/>
  <c r="Q201" i="1"/>
  <c r="O201" i="1"/>
  <c r="P201" i="1" s="1"/>
  <c r="Q200" i="1"/>
  <c r="O200" i="1"/>
  <c r="P200" i="1" s="1"/>
  <c r="Q199" i="1"/>
  <c r="O199" i="1"/>
  <c r="P199" i="1" s="1"/>
  <c r="Q198" i="1"/>
  <c r="O198" i="1"/>
  <c r="P198" i="1" s="1"/>
  <c r="Q197" i="1"/>
  <c r="O197" i="1"/>
  <c r="P197" i="1" s="1"/>
  <c r="Q196" i="1"/>
  <c r="O196" i="1"/>
  <c r="P196" i="1" s="1"/>
  <c r="Q195" i="1"/>
  <c r="O195" i="1"/>
  <c r="P195" i="1" s="1"/>
  <c r="Q194" i="1"/>
  <c r="O194" i="1"/>
  <c r="P194" i="1" s="1"/>
  <c r="Q193" i="1"/>
  <c r="O193" i="1"/>
  <c r="P193" i="1" s="1"/>
  <c r="Q192" i="1"/>
  <c r="O192" i="1"/>
  <c r="P192" i="1" s="1"/>
  <c r="Q191" i="1"/>
  <c r="O191" i="1"/>
  <c r="P191" i="1" s="1"/>
  <c r="Q190" i="1"/>
  <c r="O190" i="1"/>
  <c r="P190" i="1" s="1"/>
  <c r="Q189" i="1"/>
  <c r="O189" i="1"/>
  <c r="P189" i="1" s="1"/>
  <c r="Q188" i="1"/>
  <c r="O188" i="1"/>
  <c r="P188" i="1" s="1"/>
  <c r="Q187" i="1"/>
  <c r="O187" i="1"/>
  <c r="P187" i="1" s="1"/>
  <c r="Q186" i="1"/>
  <c r="O186" i="1"/>
  <c r="P186" i="1" s="1"/>
  <c r="Q185" i="1"/>
  <c r="O185" i="1"/>
  <c r="P185" i="1" s="1"/>
  <c r="Q184" i="1"/>
  <c r="O184" i="1"/>
  <c r="P184" i="1" s="1"/>
  <c r="Q183" i="1"/>
  <c r="O183" i="1"/>
  <c r="P183" i="1" s="1"/>
  <c r="Q182" i="1"/>
  <c r="O182" i="1"/>
  <c r="P182" i="1" s="1"/>
  <c r="Q181" i="1"/>
  <c r="O181" i="1"/>
  <c r="P181" i="1" s="1"/>
  <c r="Q180" i="1"/>
  <c r="O180" i="1"/>
  <c r="P180" i="1" s="1"/>
  <c r="Q179" i="1"/>
  <c r="O179" i="1"/>
  <c r="P179" i="1" s="1"/>
  <c r="Q178" i="1"/>
  <c r="O178" i="1"/>
  <c r="P178" i="1" s="1"/>
  <c r="Q177" i="1"/>
  <c r="O177" i="1"/>
  <c r="P177" i="1" s="1"/>
  <c r="Q176" i="1"/>
  <c r="O176" i="1"/>
  <c r="P176" i="1" s="1"/>
  <c r="Q175" i="1"/>
  <c r="O175" i="1"/>
  <c r="P175" i="1" s="1"/>
  <c r="Q174" i="1"/>
  <c r="O174" i="1"/>
  <c r="P174" i="1" s="1"/>
  <c r="Q173" i="1"/>
  <c r="O173" i="1"/>
  <c r="P173" i="1" s="1"/>
  <c r="Q172" i="1"/>
  <c r="O172" i="1"/>
  <c r="P172" i="1" s="1"/>
  <c r="Q171" i="1"/>
  <c r="O171" i="1"/>
  <c r="P171" i="1" s="1"/>
  <c r="Q170" i="1"/>
  <c r="O170" i="1"/>
  <c r="P170" i="1" s="1"/>
  <c r="Q169" i="1"/>
  <c r="O169" i="1"/>
  <c r="P169" i="1" s="1"/>
  <c r="Q168" i="1"/>
  <c r="O168" i="1"/>
  <c r="P168" i="1" s="1"/>
  <c r="Q167" i="1"/>
  <c r="O167" i="1"/>
  <c r="P167" i="1" s="1"/>
  <c r="Q166" i="1"/>
  <c r="O166" i="1"/>
  <c r="P166" i="1" s="1"/>
  <c r="Q165" i="1"/>
  <c r="O165" i="1"/>
  <c r="P165" i="1" s="1"/>
  <c r="Q164" i="1"/>
  <c r="O164" i="1"/>
  <c r="P164" i="1" s="1"/>
  <c r="Q163" i="1"/>
  <c r="O163" i="1"/>
  <c r="P163" i="1" s="1"/>
  <c r="Q162" i="1"/>
  <c r="O162" i="1"/>
  <c r="P162" i="1" s="1"/>
  <c r="Q161" i="1"/>
  <c r="O161" i="1"/>
  <c r="P161" i="1" s="1"/>
  <c r="Q160" i="1"/>
  <c r="O160" i="1"/>
  <c r="P160" i="1" s="1"/>
  <c r="Q159" i="1"/>
  <c r="O159" i="1"/>
  <c r="P159" i="1" s="1"/>
  <c r="Q158" i="1"/>
  <c r="O158" i="1"/>
  <c r="P158" i="1" s="1"/>
  <c r="Q157" i="1"/>
  <c r="O157" i="1"/>
  <c r="P157" i="1" s="1"/>
  <c r="Q156" i="1"/>
  <c r="O156" i="1"/>
  <c r="P156" i="1" s="1"/>
  <c r="Q155" i="1"/>
  <c r="O155" i="1"/>
  <c r="P155" i="1" s="1"/>
  <c r="Q154" i="1"/>
  <c r="O154" i="1"/>
  <c r="P154" i="1" s="1"/>
  <c r="Q153" i="1"/>
  <c r="O153" i="1"/>
  <c r="P153" i="1" s="1"/>
  <c r="Q152" i="1"/>
  <c r="O152" i="1"/>
  <c r="P152" i="1" s="1"/>
  <c r="Q151" i="1"/>
  <c r="O151" i="1"/>
  <c r="P151" i="1" s="1"/>
  <c r="Q150" i="1"/>
  <c r="O150" i="1"/>
  <c r="P150" i="1" s="1"/>
  <c r="Q149" i="1"/>
  <c r="O149" i="1"/>
  <c r="P149" i="1" s="1"/>
  <c r="Q148" i="1"/>
  <c r="O148" i="1"/>
  <c r="P148" i="1" s="1"/>
  <c r="Q147" i="1"/>
  <c r="O147" i="1"/>
  <c r="P147" i="1" s="1"/>
  <c r="Q146" i="1"/>
  <c r="O146" i="1"/>
  <c r="P146" i="1" s="1"/>
  <c r="Q145" i="1"/>
  <c r="O145" i="1"/>
  <c r="P145" i="1" s="1"/>
  <c r="Q144" i="1"/>
  <c r="O144" i="1"/>
  <c r="P144" i="1" s="1"/>
  <c r="Q143" i="1"/>
  <c r="O143" i="1"/>
  <c r="P143" i="1" s="1"/>
  <c r="Q142" i="1"/>
  <c r="O142" i="1"/>
  <c r="P142" i="1" s="1"/>
  <c r="Q141" i="1"/>
  <c r="O141" i="1"/>
  <c r="P141" i="1" s="1"/>
  <c r="Q140" i="1"/>
  <c r="O140" i="1"/>
  <c r="P140" i="1" s="1"/>
  <c r="Q139" i="1"/>
  <c r="O139" i="1"/>
  <c r="P139" i="1" s="1"/>
  <c r="Q138" i="1"/>
  <c r="O138" i="1"/>
  <c r="P138" i="1" s="1"/>
  <c r="Q137" i="1"/>
  <c r="O137" i="1"/>
  <c r="P137" i="1" s="1"/>
  <c r="Q136" i="1"/>
  <c r="O136" i="1"/>
  <c r="P136" i="1" s="1"/>
  <c r="Q135" i="1"/>
  <c r="O135" i="1"/>
  <c r="P135" i="1" s="1"/>
  <c r="Q134" i="1"/>
  <c r="O134" i="1"/>
  <c r="P134" i="1" s="1"/>
  <c r="Q133" i="1"/>
  <c r="O133" i="1"/>
  <c r="P133" i="1" s="1"/>
  <c r="Q132" i="1"/>
  <c r="O132" i="1"/>
  <c r="P132" i="1" s="1"/>
  <c r="Q131" i="1"/>
  <c r="O131" i="1"/>
  <c r="P131" i="1" s="1"/>
  <c r="Q130" i="1"/>
  <c r="O130" i="1"/>
  <c r="P130" i="1" s="1"/>
  <c r="Q129" i="1"/>
  <c r="O129" i="1"/>
  <c r="P129" i="1" s="1"/>
  <c r="Q128" i="1"/>
  <c r="O128" i="1"/>
  <c r="P128" i="1" s="1"/>
  <c r="Q127" i="1"/>
  <c r="O127" i="1"/>
  <c r="P127" i="1" s="1"/>
  <c r="Q126" i="1"/>
  <c r="O126" i="1"/>
  <c r="P126" i="1" s="1"/>
  <c r="Q125" i="1"/>
  <c r="O125" i="1"/>
  <c r="P125" i="1" s="1"/>
  <c r="Q124" i="1"/>
  <c r="O124" i="1"/>
  <c r="P124" i="1" s="1"/>
  <c r="Q123" i="1"/>
  <c r="O123" i="1"/>
  <c r="P123" i="1" s="1"/>
  <c r="Q122" i="1"/>
  <c r="O122" i="1"/>
  <c r="P122" i="1" s="1"/>
  <c r="Q121" i="1"/>
  <c r="O121" i="1"/>
  <c r="P121" i="1" s="1"/>
  <c r="Q120" i="1"/>
  <c r="O120" i="1"/>
  <c r="P120" i="1" s="1"/>
  <c r="Q119" i="1"/>
  <c r="O119" i="1"/>
  <c r="P119" i="1" s="1"/>
  <c r="Q118" i="1"/>
  <c r="O118" i="1"/>
  <c r="P118" i="1" s="1"/>
  <c r="Q117" i="1"/>
  <c r="O117" i="1"/>
  <c r="P117" i="1" s="1"/>
  <c r="Q116" i="1"/>
  <c r="O116" i="1"/>
  <c r="P116" i="1" s="1"/>
  <c r="Q115" i="1"/>
  <c r="O115" i="1"/>
  <c r="P115" i="1" s="1"/>
  <c r="Q114" i="1"/>
  <c r="O114" i="1"/>
  <c r="P114" i="1" s="1"/>
  <c r="Q113" i="1"/>
  <c r="O113" i="1"/>
  <c r="P113" i="1" s="1"/>
  <c r="Q112" i="1"/>
  <c r="O112" i="1"/>
  <c r="P112" i="1" s="1"/>
  <c r="Q111" i="1"/>
  <c r="O111" i="1"/>
  <c r="P111" i="1" s="1"/>
  <c r="Q110" i="1"/>
  <c r="O110" i="1"/>
  <c r="P110" i="1" s="1"/>
  <c r="Q109" i="1"/>
  <c r="O109" i="1"/>
  <c r="P109" i="1" s="1"/>
  <c r="Q108" i="1"/>
  <c r="O108" i="1"/>
  <c r="P108" i="1" s="1"/>
  <c r="Q107" i="1"/>
  <c r="O107" i="1"/>
  <c r="P107" i="1" s="1"/>
  <c r="Q106" i="1"/>
  <c r="O106" i="1"/>
  <c r="P106" i="1" s="1"/>
  <c r="Q105" i="1"/>
  <c r="O105" i="1"/>
  <c r="P105" i="1" s="1"/>
  <c r="Q104" i="1"/>
  <c r="O104" i="1"/>
  <c r="P104" i="1" s="1"/>
  <c r="Q103" i="1"/>
  <c r="O103" i="1"/>
  <c r="P103" i="1" s="1"/>
  <c r="Q102" i="1"/>
  <c r="O102" i="1"/>
  <c r="P102" i="1" s="1"/>
  <c r="Q101" i="1"/>
  <c r="O101" i="1"/>
  <c r="P101" i="1" s="1"/>
  <c r="Q100" i="1"/>
  <c r="O100" i="1"/>
  <c r="P100" i="1" s="1"/>
  <c r="Q99" i="1"/>
  <c r="O99" i="1"/>
  <c r="P99" i="1" s="1"/>
  <c r="Q98" i="1"/>
  <c r="O98" i="1"/>
  <c r="P98" i="1" s="1"/>
  <c r="Q97" i="1"/>
  <c r="O97" i="1"/>
  <c r="P97" i="1" s="1"/>
  <c r="Q96" i="1"/>
  <c r="O96" i="1"/>
  <c r="P96" i="1" s="1"/>
  <c r="Q95" i="1"/>
  <c r="O95" i="1"/>
  <c r="P95" i="1" s="1"/>
  <c r="Q94" i="1"/>
  <c r="O94" i="1"/>
  <c r="P94" i="1" s="1"/>
  <c r="Q93" i="1"/>
  <c r="O93" i="1"/>
  <c r="P93" i="1" s="1"/>
  <c r="Q92" i="1"/>
  <c r="O92" i="1"/>
  <c r="P92" i="1" s="1"/>
  <c r="Q91" i="1"/>
  <c r="O91" i="1"/>
  <c r="P91" i="1" s="1"/>
  <c r="Q90" i="1"/>
  <c r="O90" i="1"/>
  <c r="P90" i="1" s="1"/>
  <c r="Q89" i="1"/>
  <c r="O89" i="1"/>
  <c r="P89" i="1" s="1"/>
  <c r="Q88" i="1"/>
  <c r="O88" i="1"/>
  <c r="P88" i="1" s="1"/>
  <c r="Q87" i="1"/>
  <c r="O87" i="1"/>
  <c r="P87" i="1" s="1"/>
  <c r="Q86" i="1"/>
  <c r="O86" i="1"/>
  <c r="P86" i="1" s="1"/>
  <c r="Q85" i="1"/>
  <c r="O85" i="1"/>
  <c r="P85" i="1" s="1"/>
  <c r="Q84" i="1"/>
  <c r="O84" i="1"/>
  <c r="P84" i="1" s="1"/>
  <c r="Q83" i="1"/>
  <c r="O83" i="1"/>
  <c r="P83" i="1" s="1"/>
  <c r="Q82" i="1"/>
  <c r="O82" i="1"/>
  <c r="P82" i="1" s="1"/>
  <c r="Q81" i="1"/>
  <c r="O81" i="1"/>
  <c r="P81" i="1" s="1"/>
  <c r="Q80" i="1"/>
  <c r="O80" i="1"/>
  <c r="P80" i="1" s="1"/>
  <c r="Q79" i="1"/>
  <c r="O79" i="1"/>
  <c r="P79" i="1" s="1"/>
  <c r="Q78" i="1"/>
  <c r="O78" i="1"/>
  <c r="P78" i="1" s="1"/>
  <c r="Q77" i="1"/>
  <c r="O77" i="1"/>
  <c r="P77" i="1" s="1"/>
  <c r="Q76" i="1"/>
  <c r="O76" i="1"/>
  <c r="P76" i="1" s="1"/>
  <c r="Q75" i="1"/>
  <c r="O75" i="1"/>
  <c r="P75" i="1" s="1"/>
  <c r="Q74" i="1"/>
  <c r="O74" i="1"/>
  <c r="P74" i="1" s="1"/>
  <c r="Q73" i="1"/>
  <c r="O73" i="1"/>
  <c r="P73" i="1" s="1"/>
  <c r="Q72" i="1"/>
  <c r="O72" i="1"/>
  <c r="P72" i="1" s="1"/>
  <c r="Q71" i="1"/>
  <c r="O71" i="1"/>
  <c r="P71" i="1" s="1"/>
  <c r="Q70" i="1"/>
  <c r="O70" i="1"/>
  <c r="P70" i="1" s="1"/>
  <c r="Q69" i="1"/>
  <c r="O69" i="1"/>
  <c r="P69" i="1" s="1"/>
  <c r="Q68" i="1"/>
  <c r="O68" i="1"/>
  <c r="P68" i="1" s="1"/>
  <c r="Q67" i="1"/>
  <c r="O67" i="1"/>
  <c r="P67" i="1" s="1"/>
  <c r="Q66" i="1"/>
  <c r="O66" i="1"/>
  <c r="P66" i="1" s="1"/>
  <c r="Q65" i="1"/>
  <c r="O65" i="1"/>
  <c r="P65" i="1" s="1"/>
  <c r="Q64" i="1"/>
  <c r="O64" i="1"/>
  <c r="P64" i="1" s="1"/>
  <c r="Q63" i="1"/>
  <c r="O63" i="1"/>
  <c r="P63" i="1" s="1"/>
  <c r="Q62" i="1"/>
  <c r="O62" i="1"/>
  <c r="P62" i="1" s="1"/>
  <c r="Q61" i="1"/>
  <c r="O61" i="1"/>
  <c r="P61" i="1" s="1"/>
  <c r="Q60" i="1"/>
  <c r="O60" i="1"/>
  <c r="P60" i="1" s="1"/>
  <c r="Q59" i="1"/>
  <c r="O59" i="1"/>
  <c r="P59" i="1" s="1"/>
  <c r="Q58" i="1"/>
  <c r="O58" i="1"/>
  <c r="P58" i="1" s="1"/>
  <c r="Q57" i="1"/>
  <c r="O57" i="1"/>
  <c r="P57" i="1" s="1"/>
  <c r="Q56" i="1"/>
  <c r="O56" i="1"/>
  <c r="P56" i="1" s="1"/>
  <c r="Q55" i="1"/>
  <c r="O55" i="1"/>
  <c r="P55" i="1" s="1"/>
  <c r="Q54" i="1"/>
  <c r="O54" i="1"/>
  <c r="P54" i="1" s="1"/>
  <c r="Q53" i="1"/>
  <c r="O53" i="1"/>
  <c r="P53" i="1" s="1"/>
  <c r="Q52" i="1"/>
  <c r="O52" i="1"/>
  <c r="P52" i="1" s="1"/>
  <c r="Q51" i="1"/>
  <c r="O51" i="1"/>
  <c r="P51" i="1" s="1"/>
  <c r="Q50" i="1"/>
  <c r="O50" i="1"/>
  <c r="P50" i="1" s="1"/>
  <c r="Q49" i="1"/>
  <c r="O49" i="1"/>
  <c r="P49" i="1" s="1"/>
  <c r="Q48" i="1"/>
  <c r="O48" i="1"/>
  <c r="P48" i="1" s="1"/>
  <c r="Q47" i="1"/>
  <c r="O47" i="1"/>
  <c r="P47" i="1" s="1"/>
  <c r="Q46" i="1"/>
  <c r="O46" i="1"/>
  <c r="P46" i="1" s="1"/>
  <c r="Q45" i="1"/>
  <c r="O45" i="1"/>
  <c r="P45" i="1" s="1"/>
  <c r="Q44" i="1"/>
  <c r="O44" i="1"/>
  <c r="P44" i="1" s="1"/>
  <c r="Q43" i="1"/>
  <c r="O43" i="1"/>
  <c r="P43" i="1" s="1"/>
  <c r="Q42" i="1"/>
  <c r="O42" i="1"/>
  <c r="P42" i="1" s="1"/>
  <c r="Q41" i="1"/>
  <c r="O41" i="1"/>
  <c r="P41" i="1" s="1"/>
  <c r="Q40" i="1"/>
  <c r="O40" i="1"/>
  <c r="P40" i="1" s="1"/>
  <c r="Q39" i="1"/>
  <c r="O39" i="1"/>
  <c r="P39" i="1" s="1"/>
  <c r="Q38" i="1"/>
  <c r="O38" i="1"/>
  <c r="P38" i="1" s="1"/>
  <c r="Q37" i="1"/>
  <c r="O37" i="1"/>
  <c r="P37" i="1" s="1"/>
  <c r="Q36" i="1"/>
  <c r="O36" i="1"/>
  <c r="P36" i="1" s="1"/>
  <c r="Q35" i="1"/>
  <c r="O35" i="1"/>
  <c r="P35" i="1" s="1"/>
  <c r="Q34" i="1"/>
  <c r="O34" i="1"/>
  <c r="P34" i="1" s="1"/>
  <c r="Q33" i="1"/>
  <c r="O33" i="1"/>
  <c r="P33" i="1" s="1"/>
  <c r="Q32" i="1"/>
  <c r="O32" i="1"/>
  <c r="P32" i="1" s="1"/>
  <c r="Q31" i="1"/>
  <c r="O31" i="1"/>
  <c r="P31" i="1" s="1"/>
  <c r="Q30" i="1"/>
  <c r="O30" i="1"/>
  <c r="P30" i="1" s="1"/>
  <c r="Q29" i="1"/>
  <c r="O29" i="1"/>
  <c r="P29" i="1" s="1"/>
  <c r="Q28" i="1"/>
  <c r="O28" i="1"/>
  <c r="P28" i="1" s="1"/>
  <c r="Q27" i="1"/>
  <c r="O27" i="1"/>
  <c r="P27" i="1" s="1"/>
  <c r="Q26" i="1"/>
  <c r="O26" i="1"/>
  <c r="P26" i="1" s="1"/>
  <c r="Q25" i="1"/>
  <c r="O25" i="1"/>
  <c r="P25" i="1" s="1"/>
  <c r="Q24" i="1"/>
  <c r="O24" i="1"/>
  <c r="P24" i="1" s="1"/>
  <c r="Q23" i="1"/>
  <c r="O23" i="1"/>
  <c r="P23" i="1" s="1"/>
  <c r="Q22" i="1"/>
  <c r="O22" i="1"/>
  <c r="P22" i="1" s="1"/>
  <c r="Q21" i="1"/>
  <c r="O21" i="1"/>
  <c r="P21" i="1" s="1"/>
  <c r="Q20" i="1"/>
  <c r="O20" i="1"/>
  <c r="P20" i="1" s="1"/>
  <c r="Q19" i="1"/>
  <c r="O19" i="1"/>
  <c r="P19" i="1" s="1"/>
  <c r="Q18" i="1"/>
  <c r="O18" i="1"/>
  <c r="P18" i="1" s="1"/>
  <c r="Q17" i="1"/>
  <c r="O17" i="1"/>
  <c r="P17" i="1" s="1"/>
  <c r="Q16" i="1"/>
  <c r="O16" i="1"/>
  <c r="P16" i="1" s="1"/>
  <c r="Q15" i="1"/>
  <c r="O15" i="1"/>
  <c r="P15" i="1" s="1"/>
  <c r="Q14" i="1"/>
  <c r="O14" i="1"/>
  <c r="P14" i="1" s="1"/>
  <c r="Q13" i="1"/>
  <c r="O13" i="1"/>
  <c r="P13" i="1" s="1"/>
  <c r="Q12" i="1"/>
  <c r="O12" i="1"/>
  <c r="P12" i="1" s="1"/>
  <c r="Q11" i="1"/>
  <c r="O11" i="1"/>
  <c r="P11" i="1" s="1"/>
  <c r="Q10" i="1"/>
  <c r="O10" i="1"/>
  <c r="P10" i="1" s="1"/>
  <c r="Q9" i="1"/>
  <c r="O9" i="1"/>
  <c r="P9" i="1" s="1"/>
  <c r="Q8" i="1"/>
  <c r="O8" i="1"/>
  <c r="P8" i="1" s="1"/>
  <c r="Q7" i="1"/>
  <c r="O7" i="1"/>
  <c r="P7" i="1" s="1"/>
  <c r="Q6" i="1"/>
  <c r="O6" i="1"/>
  <c r="P6" i="1" s="1"/>
  <c r="Q5" i="1"/>
  <c r="O5" i="1"/>
  <c r="P5" i="1" s="1"/>
  <c r="Q4" i="1"/>
  <c r="O4" i="1"/>
  <c r="P4" i="1" s="1"/>
  <c r="Q3" i="1"/>
  <c r="O3" i="1"/>
  <c r="P3" i="1" s="1"/>
  <c r="Q2" i="1"/>
  <c r="O2" i="1"/>
  <c r="P2" i="1" s="1"/>
  <c r="R2" i="1" l="1"/>
  <c r="S2" i="1" l="1"/>
</calcChain>
</file>

<file path=xl/sharedStrings.xml><?xml version="1.0" encoding="utf-8"?>
<sst xmlns="http://schemas.openxmlformats.org/spreadsheetml/2006/main" count="1460" uniqueCount="349">
  <si>
    <t>Gene</t>
  </si>
  <si>
    <t>Count</t>
  </si>
  <si>
    <t>LFC_Mean</t>
  </si>
  <si>
    <t>LFC_Std</t>
  </si>
  <si>
    <t>Gene1</t>
  </si>
  <si>
    <t>Gene2</t>
  </si>
  <si>
    <t>Gene1_NT</t>
  </si>
  <si>
    <t>Gene1_NT_Count</t>
  </si>
  <si>
    <t>Gene1_NT_LFC_Mean</t>
  </si>
  <si>
    <t>Gene1_NT_LFC_Std</t>
  </si>
  <si>
    <t>Gene2_NT</t>
  </si>
  <si>
    <t>Gene2_NT_Count</t>
  </si>
  <si>
    <t>Gene2_NT_LFC_Mean</t>
  </si>
  <si>
    <t>Gene2_NT_LFC_Std</t>
  </si>
  <si>
    <t>Expected</t>
  </si>
  <si>
    <t>GI</t>
  </si>
  <si>
    <t>GI_Z_Include</t>
  </si>
  <si>
    <t>GI_Z_Mean</t>
  </si>
  <si>
    <t>GI_Z_SD</t>
  </si>
  <si>
    <t>Pten*Pla2r1</t>
  </si>
  <si>
    <t>Pten</t>
  </si>
  <si>
    <t>Pla2r1</t>
  </si>
  <si>
    <t>Pten*NT</t>
  </si>
  <si>
    <t>NT*Pla2r1</t>
  </si>
  <si>
    <t>Pten*Btla</t>
  </si>
  <si>
    <t>Btla</t>
  </si>
  <si>
    <t>NT*Btla</t>
  </si>
  <si>
    <t>Pten*Cxcr5</t>
  </si>
  <si>
    <t>Cxcr5</t>
  </si>
  <si>
    <t>NT*Cxcr2</t>
  </si>
  <si>
    <t>Calml3</t>
  </si>
  <si>
    <t>Muc16</t>
  </si>
  <si>
    <t>Calml3*NT</t>
  </si>
  <si>
    <t>NT*Muc16</t>
  </si>
  <si>
    <t>Pten*Mfap5</t>
  </si>
  <si>
    <t>Mfap5</t>
  </si>
  <si>
    <t>NT*Mfap5</t>
  </si>
  <si>
    <t>Serpinb5*Muc16</t>
  </si>
  <si>
    <t>Serpinb5</t>
  </si>
  <si>
    <t>Serpinb5*NT</t>
  </si>
  <si>
    <t>Pten*Mysm1</t>
  </si>
  <si>
    <t>Mysm1</t>
  </si>
  <si>
    <t>NT*Mysm1</t>
  </si>
  <si>
    <t>Calml3*Mpeg1</t>
  </si>
  <si>
    <t>Mpeg1</t>
  </si>
  <si>
    <t>NT*Mpeg1</t>
  </si>
  <si>
    <t>Pten*Tlr7</t>
  </si>
  <si>
    <t>Tlr7</t>
  </si>
  <si>
    <t>NT*Tlr7</t>
  </si>
  <si>
    <t>Clca2*Cxcr2</t>
  </si>
  <si>
    <t>Clca2</t>
  </si>
  <si>
    <t>Cxcr2</t>
  </si>
  <si>
    <t>Clca2*NT</t>
  </si>
  <si>
    <t>Clca2*Tlr7</t>
  </si>
  <si>
    <t>Tsc2*Muc16</t>
  </si>
  <si>
    <t>Tsc2</t>
  </si>
  <si>
    <t>Tsc2*NT</t>
  </si>
  <si>
    <t>Serpinb5*Cxcr5</t>
  </si>
  <si>
    <t>NT*Cxcr5</t>
  </si>
  <si>
    <t>Stk11*Cx3cl1</t>
  </si>
  <si>
    <t>Stk11</t>
  </si>
  <si>
    <t>Cx3cl1</t>
  </si>
  <si>
    <t>Stk11*NT</t>
  </si>
  <si>
    <t>NT*Cx3cl1</t>
  </si>
  <si>
    <t>Serpinb5*Pla2r1</t>
  </si>
  <si>
    <t>Pten*Hgf</t>
  </si>
  <si>
    <t>Hgf</t>
  </si>
  <si>
    <t>NT*Hgf</t>
  </si>
  <si>
    <t>Serpinb5*Mpeg1</t>
  </si>
  <si>
    <t>Pten*Pla2g2a</t>
  </si>
  <si>
    <t>Pla2g2a</t>
  </si>
  <si>
    <t>NT*Pla2g2a</t>
  </si>
  <si>
    <t>Smad4*Cx3cl1</t>
  </si>
  <si>
    <t>Smad4</t>
  </si>
  <si>
    <t>Smad4*NT</t>
  </si>
  <si>
    <t>Sox10*Cx3cl1</t>
  </si>
  <si>
    <t>Sox10</t>
  </si>
  <si>
    <t>Sox10*NT</t>
  </si>
  <si>
    <t>Chek2*Pla2r1</t>
  </si>
  <si>
    <t>Chek2</t>
  </si>
  <si>
    <t>Chek2*NT</t>
  </si>
  <si>
    <t>Rb1*Mfap5</t>
  </si>
  <si>
    <t>Rb1</t>
  </si>
  <si>
    <t>Rb1*NT</t>
  </si>
  <si>
    <t>Krt15*Mfap5</t>
  </si>
  <si>
    <t>Krt15</t>
  </si>
  <si>
    <t>Krt15*NT</t>
  </si>
  <si>
    <t>Calml3*Mfap5</t>
  </si>
  <si>
    <t>Tgfbr2*Cx3cl1</t>
  </si>
  <si>
    <t>Tgfbr2</t>
  </si>
  <si>
    <t>Tgfbr2*NT</t>
  </si>
  <si>
    <t>Serpinb5*Mfap5</t>
  </si>
  <si>
    <t>Chit1*Pla2r1</t>
  </si>
  <si>
    <t>Chit1</t>
  </si>
  <si>
    <t>Chit1*NT</t>
  </si>
  <si>
    <t>Serpinb5*Cdh1</t>
  </si>
  <si>
    <t>Cdh1</t>
  </si>
  <si>
    <t>NT*Cdh1</t>
  </si>
  <si>
    <t>Brca1*Cx3cl1</t>
  </si>
  <si>
    <t>Brca1</t>
  </si>
  <si>
    <t>Brca1*NT</t>
  </si>
  <si>
    <t>Sox10*Pla2r1</t>
  </si>
  <si>
    <t>Brca2*Cx3cl1</t>
  </si>
  <si>
    <t>Brca2</t>
  </si>
  <si>
    <t>Brca2*NT</t>
  </si>
  <si>
    <t>Clca2*Cxcr5</t>
  </si>
  <si>
    <t>Rb1*Btla</t>
  </si>
  <si>
    <t>Tgfbr2*Cxcr5</t>
  </si>
  <si>
    <t>Calml3*Cxcr2</t>
  </si>
  <si>
    <t>Clca2*Muc16</t>
  </si>
  <si>
    <t>Clca2*Tnfsf15</t>
  </si>
  <si>
    <t>Tnfsf15</t>
  </si>
  <si>
    <t>NT*Tnfsf15</t>
  </si>
  <si>
    <t>Kit*Il6</t>
  </si>
  <si>
    <t>Kit</t>
  </si>
  <si>
    <t>Il6</t>
  </si>
  <si>
    <t>Kit*NT</t>
  </si>
  <si>
    <t>NT*Il6</t>
  </si>
  <si>
    <t>Pten*Mpeg1</t>
  </si>
  <si>
    <t>Tsc2*Tlr7</t>
  </si>
  <si>
    <t>Chit1*Muc16</t>
  </si>
  <si>
    <t>Brca2*Tlr7</t>
  </si>
  <si>
    <t>Calml3*Pla2r1</t>
  </si>
  <si>
    <t>Brca1*Cxcr5</t>
  </si>
  <si>
    <t>Rb1*Tnfsf15</t>
  </si>
  <si>
    <t>Chit1*Cxcr2</t>
  </si>
  <si>
    <t>Tgfbr2*Mpeg1</t>
  </si>
  <si>
    <t>Apc</t>
  </si>
  <si>
    <t>Apc*NT</t>
  </si>
  <si>
    <t>Tsc2*Cxcr2</t>
  </si>
  <si>
    <t>Kit*Cx3cl1</t>
  </si>
  <si>
    <t>Serpinb5*Mysm1</t>
  </si>
  <si>
    <t>Sox10*Mpeg1</t>
  </si>
  <si>
    <t>Smad4*Tlr7</t>
  </si>
  <si>
    <t>Smad4*Mpeg1</t>
  </si>
  <si>
    <t>Brca2*Cxcr5</t>
  </si>
  <si>
    <t>Serpinb5*Tnfsf15</t>
  </si>
  <si>
    <t>Chit1*Tlr7</t>
  </si>
  <si>
    <t>Tsc2*Cxcr5</t>
  </si>
  <si>
    <t>Pten*Pdcd1lg2</t>
  </si>
  <si>
    <t>Pdcd1lg2</t>
  </si>
  <si>
    <t>NT*Pdcd1lg2</t>
  </si>
  <si>
    <t>Kit*Muc16</t>
  </si>
  <si>
    <t>Clca2*Cx3cl1</t>
  </si>
  <si>
    <t>Krt15*Cxcr5</t>
  </si>
  <si>
    <t>Tgfbr2*Pla2r1</t>
  </si>
  <si>
    <t>Kit*Pla2r1</t>
  </si>
  <si>
    <t>Tgfbr2*Tlr7</t>
  </si>
  <si>
    <t>Tgfbr2*Muc16</t>
  </si>
  <si>
    <t>Krt15*Btla</t>
  </si>
  <si>
    <t>Stk11*Cxcr5</t>
  </si>
  <si>
    <t>Smad4*Pla2r1</t>
  </si>
  <si>
    <t>Krt15*Cx3cl1</t>
  </si>
  <si>
    <t>Smad4*Cxcr2</t>
  </si>
  <si>
    <t>Brca1*Tlr7</t>
  </si>
  <si>
    <t>Krt15*Cxcr2</t>
  </si>
  <si>
    <t>Tsc2*Mfap5</t>
  </si>
  <si>
    <t>Tsc2*Cx3cl1</t>
  </si>
  <si>
    <t>Apc*Pla2r1</t>
  </si>
  <si>
    <t>Apc*Mpeg1</t>
  </si>
  <si>
    <t>Calml3*Mysm1</t>
  </si>
  <si>
    <t>Chit1*Cxcr5</t>
  </si>
  <si>
    <t>Chit1*Mfap5</t>
  </si>
  <si>
    <t>Sox10*Cxcr5</t>
  </si>
  <si>
    <t>Chek2*Muc16</t>
  </si>
  <si>
    <t>Tgfbr2*Cxcr2</t>
  </si>
  <si>
    <t>Calml3*Il6</t>
  </si>
  <si>
    <t>Apc*Tnfsf15</t>
  </si>
  <si>
    <t>Tgfbr2*Il6</t>
  </si>
  <si>
    <t>Calml3*Fcrl6</t>
  </si>
  <si>
    <t>Fcrl6</t>
  </si>
  <si>
    <t>NT*Fcrl6</t>
  </si>
  <si>
    <t>Pten*Il6</t>
  </si>
  <si>
    <t>Tgfbr2*Pdcd1lg2</t>
  </si>
  <si>
    <t>Chek2*Mysm1</t>
  </si>
  <si>
    <t>Chit1*Btla</t>
  </si>
  <si>
    <t>Sox10*Muc16</t>
  </si>
  <si>
    <t>Tsc2*Pla2r1</t>
  </si>
  <si>
    <t>Brca2*Pla2g2a</t>
  </si>
  <si>
    <t>Krt15*Muc16</t>
  </si>
  <si>
    <t>Chek2*Cdh1</t>
  </si>
  <si>
    <t>Brca2*Muc16</t>
  </si>
  <si>
    <t>Apc*Cdh1</t>
  </si>
  <si>
    <t>Rb1*Mpeg1</t>
  </si>
  <si>
    <t>Rb1*Il6</t>
  </si>
  <si>
    <t>Sox10*Pla2g2a</t>
  </si>
  <si>
    <t>Kit*Cxcr5</t>
  </si>
  <si>
    <t>Chit1*Mpeg1</t>
  </si>
  <si>
    <t>Apc*Tlr7</t>
  </si>
  <si>
    <t>Smad4*Pdcd1lg2</t>
  </si>
  <si>
    <t>Brca2*Tnfsf15</t>
  </si>
  <si>
    <t>Tsc2*Il6</t>
  </si>
  <si>
    <t>Chek2*Tlr7</t>
  </si>
  <si>
    <t>Kit*Cxcr2</t>
  </si>
  <si>
    <t>Smad4*Tnfsf15</t>
  </si>
  <si>
    <t>Stk11*Tlr7</t>
  </si>
  <si>
    <t>Serpinb5*Fcrl6</t>
  </si>
  <si>
    <t>Stk11*Mpeg1</t>
  </si>
  <si>
    <t>Sox10*Cxcr2</t>
  </si>
  <si>
    <t>Tgfbr2*Btla</t>
  </si>
  <si>
    <t>Chek2*Cx3cl1</t>
  </si>
  <si>
    <t>Chek2*Mpeg1</t>
  </si>
  <si>
    <t>Serpinb5*Hgf</t>
  </si>
  <si>
    <t>Chek2*Pdcd1lg2</t>
  </si>
  <si>
    <t>Rb1*Muc16</t>
  </si>
  <si>
    <t>Kit*Tlr7</t>
  </si>
  <si>
    <t>Kit*Tnfsf15</t>
  </si>
  <si>
    <t>Rb1*Pla2r1</t>
  </si>
  <si>
    <t>Sox10*Btla</t>
  </si>
  <si>
    <t>Brca2*Pla2r1</t>
  </si>
  <si>
    <t>Sox10*Il6</t>
  </si>
  <si>
    <t>Stk11*Muc16</t>
  </si>
  <si>
    <t>Tsc2*Tnfsf15</t>
  </si>
  <si>
    <t>Chek2*Fcrl6</t>
  </si>
  <si>
    <t>Clca2*Pdcd1lg2</t>
  </si>
  <si>
    <t>Rb1*Pdcd1lg2</t>
  </si>
  <si>
    <t>Chit1*Pdcd1lg2</t>
  </si>
  <si>
    <t>Calml3*Pdcd1lg2</t>
  </si>
  <si>
    <t>Chit1*Tnfsf15</t>
  </si>
  <si>
    <t>Brca2*Hgf</t>
  </si>
  <si>
    <t>Kit*Pdcd1lg2</t>
  </si>
  <si>
    <t>Stk11*Pdcd1lg2</t>
  </si>
  <si>
    <t>Krt15*Pdcd1lg2</t>
  </si>
  <si>
    <t>Kit*Pla2g2a</t>
  </si>
  <si>
    <t>Rb1*Cxcr5</t>
  </si>
  <si>
    <t>Chek2*Hgf</t>
  </si>
  <si>
    <t>Apc*Cxcr2</t>
  </si>
  <si>
    <t>Krt15*Pla2g2a</t>
  </si>
  <si>
    <t>Clca2*Pla2g2a</t>
  </si>
  <si>
    <t>Sox10*Mysm1</t>
  </si>
  <si>
    <t>Brca1*Cxcr2</t>
  </si>
  <si>
    <t>Stk11*Cxcr2</t>
  </si>
  <si>
    <t>Smad4*Btla</t>
  </si>
  <si>
    <t>Tgfbr2*Tnfsf15</t>
  </si>
  <si>
    <t>Krt15*Mpeg1</t>
  </si>
  <si>
    <t>Calml3*Pla2g2a</t>
  </si>
  <si>
    <t>Smad4*Cxcr5</t>
  </si>
  <si>
    <t>Kit*Hgf</t>
  </si>
  <si>
    <t>Stk11*Il6</t>
  </si>
  <si>
    <t>Tgfbr2*Mfap5</t>
  </si>
  <si>
    <t>Kit*Btla</t>
  </si>
  <si>
    <t>Serpinb5*Btla</t>
  </si>
  <si>
    <t>Chit1*Fcrl6</t>
  </si>
  <si>
    <t>Rb1*Cxcr2</t>
  </si>
  <si>
    <t>Apc*Pdcd1lg2</t>
  </si>
  <si>
    <t>Tsc2*Mysm1</t>
  </si>
  <si>
    <t>Brca2*Mysm1</t>
  </si>
  <si>
    <t>Kit*Mysm1</t>
  </si>
  <si>
    <t>Tgfbr2*Pla2g2a</t>
  </si>
  <si>
    <t>Krt15*Pla2r1</t>
  </si>
  <si>
    <t>Tgfbr2*Hgf</t>
  </si>
  <si>
    <t>Clca2*Il6</t>
  </si>
  <si>
    <t>Krt15*Tnfsf15</t>
  </si>
  <si>
    <t>Kit*Cdh1</t>
  </si>
  <si>
    <t>Calml3*Cdh1</t>
  </si>
  <si>
    <t>Chit1*Hgf</t>
  </si>
  <si>
    <t>Chit1*Mysm1</t>
  </si>
  <si>
    <t>Clca2*Btla</t>
  </si>
  <si>
    <t>Brca2*Pdcd1lg2</t>
  </si>
  <si>
    <t>Apc*Hgf</t>
  </si>
  <si>
    <t>Pten*Cxcr2</t>
  </si>
  <si>
    <t>Smad4*Muc16</t>
  </si>
  <si>
    <t>Clca2*Hgf</t>
  </si>
  <si>
    <t>Tsc2*Btla</t>
  </si>
  <si>
    <t>Clca2*Pla2r1</t>
  </si>
  <si>
    <t>Tsc2*Fcrl6</t>
  </si>
  <si>
    <t>Clca2*Cdh1</t>
  </si>
  <si>
    <t>Sox10*Mfap5</t>
  </si>
  <si>
    <t>Chek2*Pla2g2a</t>
  </si>
  <si>
    <t>Clca2*Mpeg1</t>
  </si>
  <si>
    <t>Brca1*Tnfsf15</t>
  </si>
  <si>
    <t>Stk11*Mfap5</t>
  </si>
  <si>
    <t>Pten*Fcrl6</t>
  </si>
  <si>
    <t>Smad4*Fcrl6</t>
  </si>
  <si>
    <t>Brca1*Mpeg1</t>
  </si>
  <si>
    <t>Apc*Btla</t>
  </si>
  <si>
    <t>Tgfbr2*Fcrl6</t>
  </si>
  <si>
    <t>Apc*Mfap5</t>
  </si>
  <si>
    <t>Kit*Fcrl6</t>
  </si>
  <si>
    <t>Krt15*Il6</t>
  </si>
  <si>
    <t>Kit*Mfap5</t>
  </si>
  <si>
    <t>Sox10*Pdcd1lg2</t>
  </si>
  <si>
    <t>Brca1*Pla2r1</t>
  </si>
  <si>
    <t>Tgfbr2*Mysm1</t>
  </si>
  <si>
    <t>Apc*Il6</t>
  </si>
  <si>
    <t>Brca2*Mpeg1</t>
  </si>
  <si>
    <t>Smad4*Mysm1</t>
  </si>
  <si>
    <t>Krt15*Fcrl6</t>
  </si>
  <si>
    <t>Tsc2*Pdcd1lg2</t>
  </si>
  <si>
    <t>Kit*Mpeg1</t>
  </si>
  <si>
    <t>Calml3*Btla</t>
  </si>
  <si>
    <t>Stk11*Hgf</t>
  </si>
  <si>
    <t>Krt15*Mysm1</t>
  </si>
  <si>
    <t>Tgfbr2*Cdh1</t>
  </si>
  <si>
    <t>Brca2*Mfap5</t>
  </si>
  <si>
    <t>Brca2*Cdh1</t>
  </si>
  <si>
    <t>Serpinb5*Il6</t>
  </si>
  <si>
    <t>Brca1*Fcrl6</t>
  </si>
  <si>
    <t>Chit1*Cdh1</t>
  </si>
  <si>
    <t>Sox10*Tlr7</t>
  </si>
  <si>
    <t>Brca1*Pdcd1lg2</t>
  </si>
  <si>
    <t>Stk11*Btla</t>
  </si>
  <si>
    <t>NT</t>
  </si>
  <si>
    <t>Apc*Cx3cl1</t>
  </si>
  <si>
    <t>Brca2*Btla</t>
  </si>
  <si>
    <t>Stk11*Pla2r1</t>
  </si>
  <si>
    <t>Krt15*Hgf</t>
  </si>
  <si>
    <t>Smad4*Mfap5</t>
  </si>
  <si>
    <t>Chek2*Cxcr2</t>
  </si>
  <si>
    <t>Sox10*Tnfsf15</t>
  </si>
  <si>
    <t>Brca1*Mysm1</t>
  </si>
  <si>
    <t>Stk11*Mysm1</t>
  </si>
  <si>
    <t>Brca2*Fcrl6</t>
  </si>
  <si>
    <t>Smad4*Il6</t>
  </si>
  <si>
    <t>Pten*Muc16</t>
  </si>
  <si>
    <t>Tsc2*Pla2g2a</t>
  </si>
  <si>
    <t>Chit1*Il6</t>
  </si>
  <si>
    <t>Stk11*Fcrl6</t>
  </si>
  <si>
    <t>Tsc2*Mpeg1</t>
  </si>
  <si>
    <t>Apc*Pla2g2a</t>
  </si>
  <si>
    <t>Smad4*Cdh1</t>
  </si>
  <si>
    <t>Sox10*Hgf</t>
  </si>
  <si>
    <t>Tsc2*Hgf</t>
  </si>
  <si>
    <t>Sox10*Fcrl6</t>
  </si>
  <si>
    <t>Brca1*Pla2g2a</t>
  </si>
  <si>
    <t>Chit1*Pla2g2a</t>
  </si>
  <si>
    <t>Calml3*Hgf</t>
  </si>
  <si>
    <t>Brca1*Hgf</t>
  </si>
  <si>
    <t>Clca2*Fcrl6</t>
  </si>
  <si>
    <t>Brca1*Mfap5</t>
  </si>
  <si>
    <t>Clca2*Mysm1</t>
  </si>
  <si>
    <t>Brca1*Il6</t>
  </si>
  <si>
    <t>Krt15*Cdh1</t>
  </si>
  <si>
    <t>Pten*Cx3cl1</t>
  </si>
  <si>
    <t>Stk11*Tnfsf15</t>
  </si>
  <si>
    <t>Sox10*Cdh1</t>
  </si>
  <si>
    <t>Smad4*Hgf</t>
  </si>
  <si>
    <t>Brca2*Cxcr2</t>
  </si>
  <si>
    <t>Brca2*Il6</t>
  </si>
  <si>
    <t>Tsc2*Cdh1</t>
  </si>
  <si>
    <t>Krt15*Tlr7</t>
  </si>
  <si>
    <t>Stk11*Cdh1</t>
  </si>
  <si>
    <t>Brca1*Cdh1</t>
  </si>
  <si>
    <t>Stk11*Pla2g2a</t>
  </si>
  <si>
    <t>Pten*Cdh1</t>
  </si>
  <si>
    <t>Brca1*Muc16</t>
  </si>
  <si>
    <t>Apc*Cxcr5</t>
  </si>
  <si>
    <t>Calml3*Cxcr5</t>
  </si>
  <si>
    <t>Chek2*Btla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</si>
</sst>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xr:uid="{00000000-0005-0000-0000-000013000000}"/>
    <cellStyle name="20% - Accent2" xfId="23" xr:uid="{00000000-0005-0000-0000-000017000000}"/>
    <cellStyle name="20% - Accent3" xfId="27" xr:uid="{00000000-0005-0000-0000-00001B000000}"/>
    <cellStyle name="20% - Accent4" xfId="31" xr:uid="{00000000-0005-0000-0000-00001F000000}"/>
    <cellStyle name="20% - Accent5" xfId="35" xr:uid="{00000000-0005-0000-0000-000023000000}"/>
    <cellStyle name="20% - Accent6" xfId="39" xr:uid="{00000000-0005-0000-0000-000027000000}"/>
    <cellStyle name="40% - Accent1" xfId="20" xr:uid="{00000000-0005-0000-0000-000014000000}"/>
    <cellStyle name="40% - Accent2" xfId="24" xr:uid="{00000000-0005-0000-0000-000018000000}"/>
    <cellStyle name="40% - Accent3" xfId="28" xr:uid="{00000000-0005-0000-0000-00001C000000}"/>
    <cellStyle name="40% - Accent4" xfId="32" xr:uid="{00000000-0005-0000-0000-000020000000}"/>
    <cellStyle name="40% - Accent5" xfId="36" xr:uid="{00000000-0005-0000-0000-000024000000}"/>
    <cellStyle name="40% - Accent6" xfId="40" xr:uid="{00000000-0005-0000-0000-000028000000}"/>
    <cellStyle name="60% - Accent1" xfId="21" xr:uid="{00000000-0005-0000-0000-000015000000}"/>
    <cellStyle name="60% - Accent2" xfId="25" xr:uid="{00000000-0005-0000-0000-000019000000}"/>
    <cellStyle name="60% - Accent3" xfId="29" xr:uid="{00000000-0005-0000-0000-00001D000000}"/>
    <cellStyle name="60% - Accent4" xfId="33" xr:uid="{00000000-0005-0000-0000-000021000000}"/>
    <cellStyle name="60% - Accent5" xfId="37" xr:uid="{00000000-0005-0000-0000-000025000000}"/>
    <cellStyle name="60% - Accent6" xfId="41" xr:uid="{00000000-0005-0000-0000-000029000000}"/>
    <cellStyle name="Accent1" xfId="18" xr:uid="{00000000-0005-0000-0000-000012000000}"/>
    <cellStyle name="Accent2" xfId="22" xr:uid="{00000000-0005-0000-0000-000016000000}"/>
    <cellStyle name="Accent3" xfId="26" xr:uid="{00000000-0005-0000-0000-00001A000000}"/>
    <cellStyle name="Accent4" xfId="30" xr:uid="{00000000-0005-0000-0000-00001E000000}"/>
    <cellStyle name="Accent5" xfId="34" xr:uid="{00000000-0005-0000-0000-000022000000}"/>
    <cellStyle name="Accent6" xfId="38" xr:uid="{00000000-0005-0000-0000-000026000000}"/>
    <cellStyle name="Bad" xfId="7" xr:uid="{00000000-0005-0000-0000-000007000000}"/>
    <cellStyle name="Calculation" xfId="11" xr:uid="{00000000-0005-0000-0000-00000B000000}"/>
    <cellStyle name="Check Cell" xfId="13" xr:uid="{00000000-0005-0000-0000-00000D000000}"/>
    <cellStyle name="Explanatory Text" xfId="16" xr:uid="{00000000-0005-0000-0000-000010000000}"/>
    <cellStyle name="Good" xfId="6" xr:uid="{00000000-0005-0000-0000-000006000000}"/>
    <cellStyle name="Heading 1" xfId="2" xr:uid="{00000000-0005-0000-0000-000002000000}"/>
    <cellStyle name="Heading 2" xfId="3" xr:uid="{00000000-0005-0000-0000-000003000000}"/>
    <cellStyle name="Heading 3" xfId="4" xr:uid="{00000000-0005-0000-0000-000004000000}"/>
    <cellStyle name="Heading 4" xfId="5" xr:uid="{00000000-0005-0000-0000-000005000000}"/>
    <cellStyle name="Input" xfId="9" xr:uid="{00000000-0005-0000-0000-000009000000}"/>
    <cellStyle name="Linked Cell" xfId="12" xr:uid="{00000000-0005-0000-0000-00000C000000}"/>
    <cellStyle name="Neutral" xfId="8" xr:uid="{00000000-0005-0000-0000-000008000000}"/>
    <cellStyle name="Normal" xfId="0" builtinId="0"/>
    <cellStyle name="Note" xfId="15" xr:uid="{00000000-0005-0000-0000-00000F000000}"/>
    <cellStyle name="Output" xfId="10" xr:uid="{00000000-0005-0000-0000-00000A000000}"/>
    <cellStyle name="Title" xfId="1" xr:uid="{00000000-0005-0000-0000-000001000000}"/>
    <cellStyle name="Total" xfId="17" xr:uid="{00000000-0005-0000-0000-000011000000}"/>
    <cellStyle name="Warning Text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6"/>
  <sheetViews>
    <sheetView tabSelected="1" workbookViewId="0">
      <selection activeCell="U15" sqref="U15"/>
    </sheetView>
  </sheetViews>
  <sheetFormatPr baseColWidth="10" defaultRowHeight="16" x14ac:dyDescent="0.2"/>
  <cols>
    <col min="16" max="16" width="13" customWidth="1"/>
    <col min="17" max="19" width="13" hidden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1" customFormat="1" x14ac:dyDescent="0.2">
      <c r="A2" s="1" t="s">
        <v>19</v>
      </c>
      <c r="B2" s="1">
        <v>3</v>
      </c>
      <c r="C2" s="1">
        <v>1.1351566666666599</v>
      </c>
      <c r="D2" s="1">
        <v>0.87024976968301004</v>
      </c>
      <c r="E2" s="1" t="s">
        <v>20</v>
      </c>
      <c r="F2" s="1" t="s">
        <v>21</v>
      </c>
      <c r="G2" s="1" t="s">
        <v>22</v>
      </c>
      <c r="H2" s="1">
        <v>11</v>
      </c>
      <c r="I2" s="1">
        <v>3.5028990909090898</v>
      </c>
      <c r="J2" s="1">
        <v>3.7668957679777999</v>
      </c>
      <c r="K2" s="1" t="s">
        <v>23</v>
      </c>
      <c r="L2" s="1">
        <v>12</v>
      </c>
      <c r="M2" s="1">
        <v>1.7208699999999999</v>
      </c>
      <c r="N2" s="1">
        <v>2.0255937970697002</v>
      </c>
      <c r="O2" s="1">
        <f t="shared" ref="O2:O65" si="0">I2+M2</f>
        <v>5.2237690909090899</v>
      </c>
      <c r="P2" s="1">
        <f t="shared" ref="P2:P65" si="1">C2-O2</f>
        <v>-4.08861242424243</v>
      </c>
      <c r="Q2" s="1">
        <f t="shared" ref="Q2:Q65" si="2">IF(OR(E2="NT",F2="NT",E2="NTC",F2="NTC"),0,1)</f>
        <v>1</v>
      </c>
      <c r="R2" s="1">
        <f>SUMPRODUCT(($Q$2:$Q$296=1)*$P$2:$P$296)/SUM($Q$2:$Q$296)</f>
        <v>-0.95010692111177142</v>
      </c>
      <c r="S2" s="1">
        <f>SQRT(SUMPRODUCT(($Q$2:$Q$296=1)*($P$2:$P$296-$R$2)^2)/(SUM($Q$2:$Q$296)-1))</f>
        <v>1.0693167204273903</v>
      </c>
    </row>
    <row r="3" spans="1:19" s="1" customFormat="1" x14ac:dyDescent="0.2">
      <c r="A3" s="1" t="s">
        <v>27</v>
      </c>
      <c r="B3" s="1">
        <v>2</v>
      </c>
      <c r="C3" s="1">
        <v>-0.14180499999999999</v>
      </c>
      <c r="D3" s="1">
        <v>1.5922559788080499</v>
      </c>
      <c r="E3" s="1" t="s">
        <v>20</v>
      </c>
      <c r="F3" s="1" t="s">
        <v>28</v>
      </c>
      <c r="G3" s="1" t="s">
        <v>22</v>
      </c>
      <c r="H3" s="1">
        <v>11</v>
      </c>
      <c r="I3" s="1">
        <v>3.5028990909090898</v>
      </c>
      <c r="J3" s="1">
        <v>3.7668957679777999</v>
      </c>
      <c r="K3" s="1" t="s">
        <v>58</v>
      </c>
      <c r="L3" s="1">
        <v>13</v>
      </c>
      <c r="M3" s="1">
        <v>-5.0181538461538402E-2</v>
      </c>
      <c r="N3" s="1">
        <v>1.17547401340796</v>
      </c>
      <c r="O3" s="1">
        <f t="shared" si="0"/>
        <v>3.4527175524475515</v>
      </c>
      <c r="P3" s="1">
        <f t="shared" si="1"/>
        <v>-3.5945225524475517</v>
      </c>
      <c r="Q3" s="1">
        <f t="shared" si="2"/>
        <v>1</v>
      </c>
    </row>
    <row r="4" spans="1:19" s="1" customFormat="1" x14ac:dyDescent="0.2">
      <c r="A4" s="1" t="s">
        <v>260</v>
      </c>
      <c r="B4" s="1">
        <v>4</v>
      </c>
      <c r="C4" s="1">
        <v>0.244249999999999</v>
      </c>
      <c r="D4" s="1">
        <v>1.77483149341</v>
      </c>
      <c r="E4" s="1" t="s">
        <v>20</v>
      </c>
      <c r="F4" s="1" t="s">
        <v>51</v>
      </c>
      <c r="G4" s="1" t="s">
        <v>22</v>
      </c>
      <c r="H4" s="1">
        <v>11</v>
      </c>
      <c r="I4" s="1">
        <v>3.5028990909090898</v>
      </c>
      <c r="J4" s="1">
        <v>3.7668957679777999</v>
      </c>
      <c r="K4" s="1" t="s">
        <v>29</v>
      </c>
      <c r="L4" s="1">
        <v>11</v>
      </c>
      <c r="M4" s="1">
        <v>0.28300999999999998</v>
      </c>
      <c r="N4" s="1">
        <v>1.4668923681374799</v>
      </c>
      <c r="O4" s="1">
        <f t="shared" si="0"/>
        <v>3.7859090909090898</v>
      </c>
      <c r="P4" s="1">
        <f t="shared" si="1"/>
        <v>-3.5416590909090906</v>
      </c>
      <c r="Q4" s="1">
        <f t="shared" si="2"/>
        <v>1</v>
      </c>
    </row>
    <row r="5" spans="1:19" s="1" customFormat="1" x14ac:dyDescent="0.2">
      <c r="A5" s="1" t="s">
        <v>290</v>
      </c>
      <c r="B5" s="1">
        <v>4</v>
      </c>
      <c r="C5" s="1">
        <v>-0.78489999999999904</v>
      </c>
      <c r="D5" s="1">
        <v>0.99236332392257698</v>
      </c>
      <c r="E5" s="1" t="s">
        <v>30</v>
      </c>
      <c r="F5" s="1" t="s">
        <v>25</v>
      </c>
      <c r="G5" s="1" t="s">
        <v>32</v>
      </c>
      <c r="H5" s="1">
        <v>4</v>
      </c>
      <c r="I5" s="1">
        <v>1.3223024999999999</v>
      </c>
      <c r="J5" s="1">
        <v>0.83827518044991201</v>
      </c>
      <c r="K5" s="1" t="s">
        <v>26</v>
      </c>
      <c r="L5" s="1">
        <v>12</v>
      </c>
      <c r="M5" s="1">
        <v>1.4098866666666601</v>
      </c>
      <c r="N5" s="1">
        <v>2.4071265767048402</v>
      </c>
      <c r="O5" s="1">
        <f t="shared" si="0"/>
        <v>2.73218916666666</v>
      </c>
      <c r="P5" s="1">
        <f t="shared" si="1"/>
        <v>-3.5170891666666591</v>
      </c>
      <c r="Q5" s="1">
        <f t="shared" si="2"/>
        <v>1</v>
      </c>
    </row>
    <row r="6" spans="1:19" s="1" customFormat="1" x14ac:dyDescent="0.2">
      <c r="A6" s="1" t="s">
        <v>34</v>
      </c>
      <c r="B6" s="1">
        <v>2</v>
      </c>
      <c r="C6" s="1">
        <v>2.5874999999999999E-2</v>
      </c>
      <c r="D6" s="1">
        <v>1.3791764213652999</v>
      </c>
      <c r="E6" s="1" t="s">
        <v>20</v>
      </c>
      <c r="F6" s="1" t="s">
        <v>35</v>
      </c>
      <c r="G6" s="1" t="s">
        <v>22</v>
      </c>
      <c r="H6" s="1">
        <v>11</v>
      </c>
      <c r="I6" s="1">
        <v>3.5028990909090898</v>
      </c>
      <c r="J6" s="1">
        <v>3.7668957679777999</v>
      </c>
      <c r="K6" s="1" t="s">
        <v>36</v>
      </c>
      <c r="L6" s="1">
        <v>7</v>
      </c>
      <c r="M6" s="1">
        <v>-6.4271428571428804E-3</v>
      </c>
      <c r="N6" s="1">
        <v>1.10921236748896</v>
      </c>
      <c r="O6" s="1">
        <f t="shared" si="0"/>
        <v>3.4964719480519468</v>
      </c>
      <c r="P6" s="1">
        <f t="shared" si="1"/>
        <v>-3.4705969480519467</v>
      </c>
      <c r="Q6" s="1">
        <f t="shared" si="2"/>
        <v>1</v>
      </c>
    </row>
    <row r="7" spans="1:19" s="1" customFormat="1" x14ac:dyDescent="0.2">
      <c r="A7" s="1" t="s">
        <v>241</v>
      </c>
      <c r="B7" s="1">
        <v>3</v>
      </c>
      <c r="C7" s="1">
        <v>0.35731000000000002</v>
      </c>
      <c r="D7" s="1">
        <v>0.925964777029882</v>
      </c>
      <c r="E7" s="1" t="s">
        <v>38</v>
      </c>
      <c r="F7" s="1" t="s">
        <v>25</v>
      </c>
      <c r="G7" s="1" t="s">
        <v>39</v>
      </c>
      <c r="H7" s="1">
        <v>6</v>
      </c>
      <c r="I7" s="1">
        <v>2.2193033333333299</v>
      </c>
      <c r="J7" s="1">
        <v>2.10856206151648</v>
      </c>
      <c r="K7" s="1" t="s">
        <v>26</v>
      </c>
      <c r="L7" s="1">
        <v>12</v>
      </c>
      <c r="M7" s="1">
        <v>1.4098866666666601</v>
      </c>
      <c r="N7" s="1">
        <v>2.4071265767048402</v>
      </c>
      <c r="O7" s="1">
        <f t="shared" si="0"/>
        <v>3.6291899999999897</v>
      </c>
      <c r="P7" s="1">
        <f t="shared" si="1"/>
        <v>-3.2718799999999897</v>
      </c>
      <c r="Q7" s="1">
        <f t="shared" si="2"/>
        <v>1</v>
      </c>
    </row>
    <row r="8" spans="1:19" s="1" customFormat="1" x14ac:dyDescent="0.2">
      <c r="A8" s="1" t="s">
        <v>40</v>
      </c>
      <c r="B8" s="1">
        <v>2</v>
      </c>
      <c r="C8" s="1">
        <v>-1.67499999999999E-2</v>
      </c>
      <c r="D8" s="1">
        <v>1.20519279785435</v>
      </c>
      <c r="E8" s="1" t="s">
        <v>20</v>
      </c>
      <c r="F8" s="1" t="s">
        <v>41</v>
      </c>
      <c r="G8" s="1" t="s">
        <v>22</v>
      </c>
      <c r="H8" s="1">
        <v>11</v>
      </c>
      <c r="I8" s="1">
        <v>3.5028990909090898</v>
      </c>
      <c r="J8" s="1">
        <v>3.7668957679777999</v>
      </c>
      <c r="K8" s="1" t="s">
        <v>42</v>
      </c>
      <c r="L8" s="1">
        <v>8</v>
      </c>
      <c r="M8" s="1">
        <v>-0.36432874999999998</v>
      </c>
      <c r="N8" s="1">
        <v>1.09705879965397</v>
      </c>
      <c r="O8" s="1">
        <f t="shared" si="0"/>
        <v>3.1385703409090899</v>
      </c>
      <c r="P8" s="1">
        <f t="shared" si="1"/>
        <v>-3.15532034090909</v>
      </c>
      <c r="Q8" s="1">
        <f t="shared" si="2"/>
        <v>1</v>
      </c>
    </row>
    <row r="9" spans="1:19" s="1" customFormat="1" x14ac:dyDescent="0.2">
      <c r="A9" s="1" t="s">
        <v>43</v>
      </c>
      <c r="B9" s="1">
        <v>2</v>
      </c>
      <c r="C9" s="1">
        <v>-0.55107499999999998</v>
      </c>
      <c r="D9" s="1">
        <v>1.6225625754497099</v>
      </c>
      <c r="E9" s="1" t="s">
        <v>30</v>
      </c>
      <c r="F9" s="1" t="s">
        <v>44</v>
      </c>
      <c r="G9" s="1" t="s">
        <v>32</v>
      </c>
      <c r="H9" s="1">
        <v>4</v>
      </c>
      <c r="I9" s="1">
        <v>1.3223024999999999</v>
      </c>
      <c r="J9" s="1">
        <v>0.83827518044991201</v>
      </c>
      <c r="K9" s="1" t="s">
        <v>45</v>
      </c>
      <c r="L9" s="1">
        <v>9</v>
      </c>
      <c r="M9" s="1">
        <v>1.2713288888888801</v>
      </c>
      <c r="N9" s="1">
        <v>2.2624284591641999</v>
      </c>
      <c r="O9" s="1">
        <f t="shared" si="0"/>
        <v>2.59363138888888</v>
      </c>
      <c r="P9" s="1">
        <f t="shared" si="1"/>
        <v>-3.14470638888888</v>
      </c>
      <c r="Q9" s="1">
        <f t="shared" si="2"/>
        <v>1</v>
      </c>
    </row>
    <row r="10" spans="1:19" s="1" customFormat="1" x14ac:dyDescent="0.2">
      <c r="A10" s="1" t="s">
        <v>46</v>
      </c>
      <c r="B10" s="1">
        <v>3</v>
      </c>
      <c r="C10" s="1">
        <v>0.85933999999999999</v>
      </c>
      <c r="D10" s="1">
        <v>1.75694423212576</v>
      </c>
      <c r="E10" s="1" t="s">
        <v>20</v>
      </c>
      <c r="F10" s="1" t="s">
        <v>47</v>
      </c>
      <c r="G10" s="1" t="s">
        <v>22</v>
      </c>
      <c r="H10" s="1">
        <v>11</v>
      </c>
      <c r="I10" s="1">
        <v>3.5028990909090898</v>
      </c>
      <c r="J10" s="1">
        <v>3.7668957679777999</v>
      </c>
      <c r="K10" s="1" t="s">
        <v>48</v>
      </c>
      <c r="L10" s="1">
        <v>13</v>
      </c>
      <c r="M10" s="1">
        <v>0.39538538461538397</v>
      </c>
      <c r="N10" s="1">
        <v>1.9995421937267499</v>
      </c>
      <c r="O10" s="1">
        <f t="shared" si="0"/>
        <v>3.8982844755244739</v>
      </c>
      <c r="P10" s="1">
        <f t="shared" si="1"/>
        <v>-3.0389444755244739</v>
      </c>
      <c r="Q10" s="1">
        <f t="shared" si="2"/>
        <v>1</v>
      </c>
    </row>
    <row r="11" spans="1:19" s="1" customFormat="1" x14ac:dyDescent="0.2">
      <c r="A11" s="1" t="s">
        <v>49</v>
      </c>
      <c r="B11" s="1">
        <v>1</v>
      </c>
      <c r="C11" s="1">
        <v>-1.0690999999999999</v>
      </c>
      <c r="E11" s="1" t="s">
        <v>50</v>
      </c>
      <c r="F11" s="1" t="s">
        <v>51</v>
      </c>
      <c r="G11" s="1" t="s">
        <v>52</v>
      </c>
      <c r="H11" s="1">
        <v>9</v>
      </c>
      <c r="I11" s="1">
        <v>1.6130088888888801</v>
      </c>
      <c r="J11" s="1">
        <v>1.1447563417322</v>
      </c>
      <c r="K11" s="1" t="s">
        <v>29</v>
      </c>
      <c r="L11" s="1">
        <v>11</v>
      </c>
      <c r="M11" s="1">
        <v>0.28300999999999998</v>
      </c>
      <c r="N11" s="1">
        <v>1.4668923681374799</v>
      </c>
      <c r="O11" s="1">
        <f t="shared" si="0"/>
        <v>1.89601888888888</v>
      </c>
      <c r="P11" s="1">
        <f t="shared" si="1"/>
        <v>-2.9651188888888802</v>
      </c>
      <c r="Q11" s="1">
        <f t="shared" si="2"/>
        <v>1</v>
      </c>
    </row>
    <row r="12" spans="1:19" s="1" customFormat="1" x14ac:dyDescent="0.2">
      <c r="A12" s="1" t="s">
        <v>53</v>
      </c>
      <c r="B12" s="1">
        <v>1</v>
      </c>
      <c r="C12" s="1">
        <v>-0.94716999999999996</v>
      </c>
      <c r="E12" s="1" t="s">
        <v>50</v>
      </c>
      <c r="F12" s="1" t="s">
        <v>47</v>
      </c>
      <c r="G12" s="1" t="s">
        <v>52</v>
      </c>
      <c r="H12" s="1">
        <v>9</v>
      </c>
      <c r="I12" s="1">
        <v>1.6130088888888801</v>
      </c>
      <c r="J12" s="1">
        <v>1.1447563417322</v>
      </c>
      <c r="K12" s="1" t="s">
        <v>48</v>
      </c>
      <c r="L12" s="1">
        <v>13</v>
      </c>
      <c r="M12" s="1">
        <v>0.39538538461538397</v>
      </c>
      <c r="N12" s="1">
        <v>1.9995421937267499</v>
      </c>
      <c r="O12" s="1">
        <f t="shared" si="0"/>
        <v>2.0083942735042641</v>
      </c>
      <c r="P12" s="1">
        <f t="shared" si="1"/>
        <v>-2.955564273504264</v>
      </c>
      <c r="Q12" s="1">
        <f t="shared" si="2"/>
        <v>1</v>
      </c>
    </row>
    <row r="13" spans="1:19" s="1" customFormat="1" x14ac:dyDescent="0.2">
      <c r="A13" s="1" t="s">
        <v>263</v>
      </c>
      <c r="B13" s="1">
        <v>1</v>
      </c>
      <c r="C13" s="1">
        <v>-1.0345</v>
      </c>
      <c r="E13" s="1" t="s">
        <v>55</v>
      </c>
      <c r="F13" s="1" t="s">
        <v>25</v>
      </c>
      <c r="G13" s="1" t="s">
        <v>56</v>
      </c>
      <c r="H13" s="1">
        <v>10</v>
      </c>
      <c r="I13" s="1">
        <v>0.388548</v>
      </c>
      <c r="J13" s="1">
        <v>0.94956471628729799</v>
      </c>
      <c r="K13" s="1" t="s">
        <v>26</v>
      </c>
      <c r="L13" s="1">
        <v>12</v>
      </c>
      <c r="M13" s="1">
        <v>1.4098866666666601</v>
      </c>
      <c r="N13" s="1">
        <v>2.4071265767048402</v>
      </c>
      <c r="O13" s="1">
        <f t="shared" si="0"/>
        <v>1.79843466666666</v>
      </c>
      <c r="P13" s="1">
        <f t="shared" si="1"/>
        <v>-2.8329346666666599</v>
      </c>
      <c r="Q13" s="1">
        <f t="shared" si="2"/>
        <v>1</v>
      </c>
    </row>
    <row r="14" spans="1:19" s="1" customFormat="1" x14ac:dyDescent="0.2">
      <c r="A14" s="1" t="s">
        <v>37</v>
      </c>
      <c r="B14" s="1">
        <v>1</v>
      </c>
      <c r="C14" s="1">
        <v>0.53766999999999998</v>
      </c>
      <c r="E14" s="1" t="s">
        <v>38</v>
      </c>
      <c r="F14" s="1" t="s">
        <v>31</v>
      </c>
      <c r="G14" s="1" t="s">
        <v>39</v>
      </c>
      <c r="H14" s="1">
        <v>6</v>
      </c>
      <c r="I14" s="1">
        <v>2.2193033333333299</v>
      </c>
      <c r="J14" s="1">
        <v>2.10856206151648</v>
      </c>
      <c r="K14" s="1" t="s">
        <v>33</v>
      </c>
      <c r="L14" s="1">
        <v>13</v>
      </c>
      <c r="M14" s="1">
        <v>1.12689461538461</v>
      </c>
      <c r="N14" s="1">
        <v>2.6514113909218699</v>
      </c>
      <c r="O14" s="1">
        <f t="shared" si="0"/>
        <v>3.3461979487179399</v>
      </c>
      <c r="P14" s="1">
        <f t="shared" si="1"/>
        <v>-2.80852794871794</v>
      </c>
      <c r="Q14" s="1">
        <f t="shared" si="2"/>
        <v>1</v>
      </c>
    </row>
    <row r="15" spans="1:19" s="1" customFormat="1" x14ac:dyDescent="0.2">
      <c r="A15" s="1" t="s">
        <v>59</v>
      </c>
      <c r="B15" s="1">
        <v>1</v>
      </c>
      <c r="C15" s="1">
        <v>-2.0440999999999998</v>
      </c>
      <c r="E15" s="1" t="s">
        <v>60</v>
      </c>
      <c r="F15" s="1" t="s">
        <v>61</v>
      </c>
      <c r="G15" s="1" t="s">
        <v>62</v>
      </c>
      <c r="H15" s="1">
        <v>10</v>
      </c>
      <c r="I15" s="1">
        <v>-0.77134100000000005</v>
      </c>
      <c r="J15" s="1">
        <v>0.73984927907198295</v>
      </c>
      <c r="K15" s="1" t="s">
        <v>63</v>
      </c>
      <c r="L15" s="1">
        <v>8</v>
      </c>
      <c r="M15" s="1">
        <v>1.5330999999999999</v>
      </c>
      <c r="N15" s="1">
        <v>3.6639506145026401</v>
      </c>
      <c r="O15" s="1">
        <f t="shared" si="0"/>
        <v>0.76175899999999985</v>
      </c>
      <c r="P15" s="1">
        <f t="shared" si="1"/>
        <v>-2.8058589999999999</v>
      </c>
      <c r="Q15" s="1">
        <f t="shared" si="2"/>
        <v>1</v>
      </c>
    </row>
    <row r="16" spans="1:19" s="1" customFormat="1" x14ac:dyDescent="0.2">
      <c r="A16" s="1" t="s">
        <v>64</v>
      </c>
      <c r="B16" s="1">
        <v>3</v>
      </c>
      <c r="C16" s="1">
        <v>1.2529933333333301</v>
      </c>
      <c r="D16" s="1">
        <v>1.7998535568577001</v>
      </c>
      <c r="E16" s="1" t="s">
        <v>38</v>
      </c>
      <c r="F16" s="1" t="s">
        <v>21</v>
      </c>
      <c r="G16" s="1" t="s">
        <v>39</v>
      </c>
      <c r="H16" s="1">
        <v>6</v>
      </c>
      <c r="I16" s="1">
        <v>2.2193033333333299</v>
      </c>
      <c r="J16" s="1">
        <v>2.10856206151648</v>
      </c>
      <c r="K16" s="1" t="s">
        <v>23</v>
      </c>
      <c r="L16" s="1">
        <v>12</v>
      </c>
      <c r="M16" s="1">
        <v>1.7208699999999999</v>
      </c>
      <c r="N16" s="1">
        <v>2.0255937970697002</v>
      </c>
      <c r="O16" s="1">
        <f t="shared" si="0"/>
        <v>3.9401733333333295</v>
      </c>
      <c r="P16" s="1">
        <f t="shared" si="1"/>
        <v>-2.6871799999999997</v>
      </c>
      <c r="Q16" s="1">
        <f t="shared" si="2"/>
        <v>1</v>
      </c>
    </row>
    <row r="17" spans="1:17" s="1" customFormat="1" x14ac:dyDescent="0.2">
      <c r="A17" s="1" t="s">
        <v>65</v>
      </c>
      <c r="B17" s="1">
        <v>5</v>
      </c>
      <c r="C17" s="1">
        <v>0.813944</v>
      </c>
      <c r="D17" s="1">
        <v>1.0732615738625799</v>
      </c>
      <c r="E17" s="1" t="s">
        <v>20</v>
      </c>
      <c r="F17" s="1" t="s">
        <v>66</v>
      </c>
      <c r="G17" s="1" t="s">
        <v>22</v>
      </c>
      <c r="H17" s="1">
        <v>11</v>
      </c>
      <c r="I17" s="1">
        <v>3.5028990909090898</v>
      </c>
      <c r="J17" s="1">
        <v>3.7668957679777999</v>
      </c>
      <c r="K17" s="1" t="s">
        <v>67</v>
      </c>
      <c r="L17" s="1">
        <v>7</v>
      </c>
      <c r="M17" s="1">
        <v>-3.6201428571428503E-2</v>
      </c>
      <c r="N17" s="1">
        <v>1.14054237817552</v>
      </c>
      <c r="O17" s="1">
        <f t="shared" si="0"/>
        <v>3.4666976623376611</v>
      </c>
      <c r="P17" s="1">
        <f t="shared" si="1"/>
        <v>-2.6527536623376609</v>
      </c>
      <c r="Q17" s="1">
        <f t="shared" si="2"/>
        <v>1</v>
      </c>
    </row>
    <row r="18" spans="1:17" s="1" customFormat="1" x14ac:dyDescent="0.2">
      <c r="A18" s="1" t="s">
        <v>68</v>
      </c>
      <c r="B18" s="1">
        <v>1</v>
      </c>
      <c r="C18" s="1">
        <v>0.85184000000000004</v>
      </c>
      <c r="E18" s="1" t="s">
        <v>38</v>
      </c>
      <c r="F18" s="1" t="s">
        <v>44</v>
      </c>
      <c r="G18" s="1" t="s">
        <v>39</v>
      </c>
      <c r="H18" s="1">
        <v>6</v>
      </c>
      <c r="I18" s="1">
        <v>2.2193033333333299</v>
      </c>
      <c r="J18" s="1">
        <v>2.10856206151648</v>
      </c>
      <c r="K18" s="1" t="s">
        <v>45</v>
      </c>
      <c r="L18" s="1">
        <v>9</v>
      </c>
      <c r="M18" s="1">
        <v>1.2713288888888801</v>
      </c>
      <c r="N18" s="1">
        <v>2.2624284591641999</v>
      </c>
      <c r="O18" s="1">
        <f t="shared" si="0"/>
        <v>3.4906322222222101</v>
      </c>
      <c r="P18" s="1">
        <f t="shared" si="1"/>
        <v>-2.63879222222221</v>
      </c>
      <c r="Q18" s="1">
        <f t="shared" si="2"/>
        <v>1</v>
      </c>
    </row>
    <row r="19" spans="1:17" s="1" customFormat="1" x14ac:dyDescent="0.2">
      <c r="A19" s="1" t="s">
        <v>69</v>
      </c>
      <c r="B19" s="1">
        <v>2</v>
      </c>
      <c r="C19" s="1">
        <v>1.3408</v>
      </c>
      <c r="D19" s="1">
        <v>0.255265548008343</v>
      </c>
      <c r="E19" s="1" t="s">
        <v>20</v>
      </c>
      <c r="F19" s="1" t="s">
        <v>70</v>
      </c>
      <c r="G19" s="1" t="s">
        <v>22</v>
      </c>
      <c r="H19" s="1">
        <v>11</v>
      </c>
      <c r="I19" s="1">
        <v>3.5028990909090898</v>
      </c>
      <c r="J19" s="1">
        <v>3.7668957679777999</v>
      </c>
      <c r="K19" s="1" t="s">
        <v>71</v>
      </c>
      <c r="L19" s="1">
        <v>9</v>
      </c>
      <c r="M19" s="1">
        <v>0.436627777777777</v>
      </c>
      <c r="N19" s="1">
        <v>1.6967771336844499</v>
      </c>
      <c r="O19" s="1">
        <f t="shared" si="0"/>
        <v>3.9395268686868667</v>
      </c>
      <c r="P19" s="1">
        <f t="shared" si="1"/>
        <v>-2.5987268686868665</v>
      </c>
      <c r="Q19" s="1">
        <f t="shared" si="2"/>
        <v>1</v>
      </c>
    </row>
    <row r="20" spans="1:17" s="1" customFormat="1" x14ac:dyDescent="0.2">
      <c r="A20" s="1" t="s">
        <v>72</v>
      </c>
      <c r="B20" s="1">
        <v>2</v>
      </c>
      <c r="C20" s="1">
        <v>-1.0811999999999999</v>
      </c>
      <c r="D20" s="1">
        <v>0.39300994898348302</v>
      </c>
      <c r="E20" s="1" t="s">
        <v>73</v>
      </c>
      <c r="F20" s="1" t="s">
        <v>61</v>
      </c>
      <c r="G20" s="1" t="s">
        <v>74</v>
      </c>
      <c r="H20" s="1">
        <v>7</v>
      </c>
      <c r="I20" s="1">
        <v>-3.2529999999999899E-2</v>
      </c>
      <c r="J20" s="1">
        <v>1.4564495190817</v>
      </c>
      <c r="K20" s="1" t="s">
        <v>63</v>
      </c>
      <c r="L20" s="1">
        <v>8</v>
      </c>
      <c r="M20" s="1">
        <v>1.5330999999999999</v>
      </c>
      <c r="N20" s="1">
        <v>3.6639506145026401</v>
      </c>
      <c r="O20" s="1">
        <f t="shared" si="0"/>
        <v>1.50057</v>
      </c>
      <c r="P20" s="1">
        <f t="shared" si="1"/>
        <v>-2.5817699999999997</v>
      </c>
      <c r="Q20" s="1">
        <f t="shared" si="2"/>
        <v>1</v>
      </c>
    </row>
    <row r="21" spans="1:17" s="1" customFormat="1" x14ac:dyDescent="0.2">
      <c r="A21" s="1" t="s">
        <v>75</v>
      </c>
      <c r="B21" s="1">
        <v>1</v>
      </c>
      <c r="C21" s="1">
        <v>-1.7067000000000001</v>
      </c>
      <c r="E21" s="1" t="s">
        <v>76</v>
      </c>
      <c r="F21" s="1" t="s">
        <v>61</v>
      </c>
      <c r="G21" s="1" t="s">
        <v>77</v>
      </c>
      <c r="H21" s="1">
        <v>7</v>
      </c>
      <c r="I21" s="1">
        <v>-0.69767571428571395</v>
      </c>
      <c r="J21" s="1">
        <v>1.37870291931531</v>
      </c>
      <c r="K21" s="1" t="s">
        <v>63</v>
      </c>
      <c r="L21" s="1">
        <v>8</v>
      </c>
      <c r="M21" s="1">
        <v>1.5330999999999999</v>
      </c>
      <c r="N21" s="1">
        <v>3.6639506145026401</v>
      </c>
      <c r="O21" s="1">
        <f t="shared" si="0"/>
        <v>0.83542428571428595</v>
      </c>
      <c r="P21" s="1">
        <f t="shared" si="1"/>
        <v>-2.5421242857142863</v>
      </c>
      <c r="Q21" s="1">
        <f t="shared" si="2"/>
        <v>1</v>
      </c>
    </row>
    <row r="22" spans="1:17" s="1" customFormat="1" x14ac:dyDescent="0.2">
      <c r="A22" s="1" t="s">
        <v>78</v>
      </c>
      <c r="B22" s="1">
        <v>1</v>
      </c>
      <c r="C22" s="1">
        <v>0.56081999999999999</v>
      </c>
      <c r="E22" s="1" t="s">
        <v>79</v>
      </c>
      <c r="F22" s="1" t="s">
        <v>21</v>
      </c>
      <c r="G22" s="1" t="s">
        <v>80</v>
      </c>
      <c r="H22" s="1">
        <v>9</v>
      </c>
      <c r="I22" s="1">
        <v>1.3406211111111099</v>
      </c>
      <c r="J22" s="1">
        <v>0.51772118839304904</v>
      </c>
      <c r="K22" s="1" t="s">
        <v>23</v>
      </c>
      <c r="L22" s="1">
        <v>12</v>
      </c>
      <c r="M22" s="1">
        <v>1.7208699999999999</v>
      </c>
      <c r="N22" s="1">
        <v>2.0255937970697002</v>
      </c>
      <c r="O22" s="1">
        <f t="shared" si="0"/>
        <v>3.0614911111111098</v>
      </c>
      <c r="P22" s="1">
        <f t="shared" si="1"/>
        <v>-2.5006711111111097</v>
      </c>
      <c r="Q22" s="1">
        <f t="shared" si="2"/>
        <v>1</v>
      </c>
    </row>
    <row r="23" spans="1:17" s="1" customFormat="1" x14ac:dyDescent="0.2">
      <c r="A23" s="1" t="s">
        <v>81</v>
      </c>
      <c r="B23" s="1">
        <v>1</v>
      </c>
      <c r="C23" s="1">
        <v>-1.4503999999999999</v>
      </c>
      <c r="E23" s="1" t="s">
        <v>82</v>
      </c>
      <c r="F23" s="1" t="s">
        <v>35</v>
      </c>
      <c r="G23" s="1" t="s">
        <v>83</v>
      </c>
      <c r="H23" s="1">
        <v>5</v>
      </c>
      <c r="I23" s="1">
        <v>1.033558</v>
      </c>
      <c r="J23" s="1">
        <v>1.29359803757581</v>
      </c>
      <c r="K23" s="1" t="s">
        <v>36</v>
      </c>
      <c r="L23" s="1">
        <v>7</v>
      </c>
      <c r="M23" s="1">
        <v>-6.4271428571428804E-3</v>
      </c>
      <c r="N23" s="1">
        <v>1.10921236748896</v>
      </c>
      <c r="O23" s="1">
        <f t="shared" si="0"/>
        <v>1.027130857142857</v>
      </c>
      <c r="P23" s="1">
        <f t="shared" si="1"/>
        <v>-2.4775308571428569</v>
      </c>
      <c r="Q23" s="1">
        <f t="shared" si="2"/>
        <v>1</v>
      </c>
    </row>
    <row r="24" spans="1:17" s="1" customFormat="1" x14ac:dyDescent="0.2">
      <c r="A24" s="1" t="s">
        <v>84</v>
      </c>
      <c r="B24" s="1">
        <v>1</v>
      </c>
      <c r="C24" s="1">
        <v>-1.5848</v>
      </c>
      <c r="E24" s="1" t="s">
        <v>85</v>
      </c>
      <c r="F24" s="1" t="s">
        <v>35</v>
      </c>
      <c r="G24" s="1" t="s">
        <v>86</v>
      </c>
      <c r="H24" s="1">
        <v>11</v>
      </c>
      <c r="I24" s="1">
        <v>0.89274545454545395</v>
      </c>
      <c r="J24" s="1">
        <v>0.61421292855757503</v>
      </c>
      <c r="K24" s="1" t="s">
        <v>36</v>
      </c>
      <c r="L24" s="1">
        <v>7</v>
      </c>
      <c r="M24" s="1">
        <v>-6.4271428571428804E-3</v>
      </c>
      <c r="N24" s="1">
        <v>1.10921236748896</v>
      </c>
      <c r="O24" s="1">
        <f t="shared" si="0"/>
        <v>0.8863183116883111</v>
      </c>
      <c r="P24" s="1">
        <f t="shared" si="1"/>
        <v>-2.4711183116883113</v>
      </c>
      <c r="Q24" s="1">
        <f t="shared" si="2"/>
        <v>1</v>
      </c>
    </row>
    <row r="25" spans="1:17" s="1" customFormat="1" x14ac:dyDescent="0.2">
      <c r="A25" s="1" t="s">
        <v>87</v>
      </c>
      <c r="B25" s="1">
        <v>2</v>
      </c>
      <c r="C25" s="1">
        <v>-1.1485000000000001</v>
      </c>
      <c r="D25" s="1">
        <v>6.8872200487569604E-2</v>
      </c>
      <c r="E25" s="1" t="s">
        <v>30</v>
      </c>
      <c r="F25" s="1" t="s">
        <v>35</v>
      </c>
      <c r="G25" s="1" t="s">
        <v>32</v>
      </c>
      <c r="H25" s="1">
        <v>4</v>
      </c>
      <c r="I25" s="1">
        <v>1.3223024999999999</v>
      </c>
      <c r="J25" s="1">
        <v>0.83827518044991201</v>
      </c>
      <c r="K25" s="1" t="s">
        <v>36</v>
      </c>
      <c r="L25" s="1">
        <v>7</v>
      </c>
      <c r="M25" s="1">
        <v>-6.4271428571428804E-3</v>
      </c>
      <c r="N25" s="1">
        <v>1.10921236748896</v>
      </c>
      <c r="O25" s="1">
        <f t="shared" si="0"/>
        <v>1.315875357142857</v>
      </c>
      <c r="P25" s="1">
        <f t="shared" si="1"/>
        <v>-2.464375357142857</v>
      </c>
      <c r="Q25" s="1">
        <f t="shared" si="2"/>
        <v>1</v>
      </c>
    </row>
    <row r="26" spans="1:17" s="1" customFormat="1" x14ac:dyDescent="0.2">
      <c r="A26" s="1" t="s">
        <v>88</v>
      </c>
      <c r="B26" s="1">
        <v>2</v>
      </c>
      <c r="C26" s="1">
        <v>-0.16297499999999901</v>
      </c>
      <c r="D26" s="1">
        <v>1.2441190261586701</v>
      </c>
      <c r="E26" s="1" t="s">
        <v>89</v>
      </c>
      <c r="F26" s="1" t="s">
        <v>61</v>
      </c>
      <c r="G26" s="1" t="s">
        <v>90</v>
      </c>
      <c r="H26" s="1">
        <v>10</v>
      </c>
      <c r="I26" s="1">
        <v>0.71304500000000004</v>
      </c>
      <c r="J26" s="1">
        <v>1.2054066597188</v>
      </c>
      <c r="K26" s="1" t="s">
        <v>63</v>
      </c>
      <c r="L26" s="1">
        <v>8</v>
      </c>
      <c r="M26" s="1">
        <v>1.5330999999999999</v>
      </c>
      <c r="N26" s="1">
        <v>3.6639506145026401</v>
      </c>
      <c r="O26" s="1">
        <f t="shared" si="0"/>
        <v>2.2461449999999998</v>
      </c>
      <c r="P26" s="1">
        <f t="shared" si="1"/>
        <v>-2.4091199999999988</v>
      </c>
      <c r="Q26" s="1">
        <f t="shared" si="2"/>
        <v>1</v>
      </c>
    </row>
    <row r="27" spans="1:17" s="1" customFormat="1" x14ac:dyDescent="0.2">
      <c r="A27" s="1" t="s">
        <v>164</v>
      </c>
      <c r="B27" s="1">
        <v>2</v>
      </c>
      <c r="C27" s="1">
        <v>7.3874999999999996E-2</v>
      </c>
      <c r="D27" s="1">
        <v>1.0076200921230101</v>
      </c>
      <c r="E27" s="1" t="s">
        <v>79</v>
      </c>
      <c r="F27" s="1" t="s">
        <v>31</v>
      </c>
      <c r="G27" s="1" t="s">
        <v>80</v>
      </c>
      <c r="H27" s="1">
        <v>9</v>
      </c>
      <c r="I27" s="1">
        <v>1.3406211111111099</v>
      </c>
      <c r="J27" s="1">
        <v>0.51772118839304904</v>
      </c>
      <c r="K27" s="1" t="s">
        <v>33</v>
      </c>
      <c r="L27" s="1">
        <v>13</v>
      </c>
      <c r="M27" s="1">
        <v>1.12689461538461</v>
      </c>
      <c r="N27" s="1">
        <v>2.6514113909218699</v>
      </c>
      <c r="O27" s="1">
        <f t="shared" si="0"/>
        <v>2.4675157264957202</v>
      </c>
      <c r="P27" s="1">
        <f t="shared" si="1"/>
        <v>-2.39364072649572</v>
      </c>
      <c r="Q27" s="1">
        <f t="shared" si="2"/>
        <v>1</v>
      </c>
    </row>
    <row r="28" spans="1:17" s="1" customFormat="1" x14ac:dyDescent="0.2">
      <c r="A28" s="1" t="s">
        <v>91</v>
      </c>
      <c r="B28" s="1">
        <v>2</v>
      </c>
      <c r="C28" s="1">
        <v>-0.11078499999999999</v>
      </c>
      <c r="D28" s="1">
        <v>1.5159167307111501</v>
      </c>
      <c r="E28" s="1" t="s">
        <v>38</v>
      </c>
      <c r="F28" s="1" t="s">
        <v>35</v>
      </c>
      <c r="G28" s="1" t="s">
        <v>39</v>
      </c>
      <c r="H28" s="1">
        <v>6</v>
      </c>
      <c r="I28" s="1">
        <v>2.2193033333333299</v>
      </c>
      <c r="J28" s="1">
        <v>2.10856206151648</v>
      </c>
      <c r="K28" s="1" t="s">
        <v>36</v>
      </c>
      <c r="L28" s="1">
        <v>7</v>
      </c>
      <c r="M28" s="1">
        <v>-6.4271428571428804E-3</v>
      </c>
      <c r="N28" s="1">
        <v>1.10921236748896</v>
      </c>
      <c r="O28" s="1">
        <f t="shared" si="0"/>
        <v>2.2128761904761869</v>
      </c>
      <c r="P28" s="1">
        <f t="shared" si="1"/>
        <v>-2.3236611904761868</v>
      </c>
      <c r="Q28" s="1">
        <f t="shared" si="2"/>
        <v>1</v>
      </c>
    </row>
    <row r="29" spans="1:17" s="1" customFormat="1" x14ac:dyDescent="0.2">
      <c r="A29" s="1" t="s">
        <v>92</v>
      </c>
      <c r="B29" s="1">
        <v>3</v>
      </c>
      <c r="C29" s="1">
        <v>-0.17368666666666599</v>
      </c>
      <c r="D29" s="1">
        <v>1.31997012012898</v>
      </c>
      <c r="E29" s="1" t="s">
        <v>93</v>
      </c>
      <c r="F29" s="1" t="s">
        <v>21</v>
      </c>
      <c r="G29" s="1" t="s">
        <v>94</v>
      </c>
      <c r="H29" s="1">
        <v>6</v>
      </c>
      <c r="I29" s="1">
        <v>0.42126999999999998</v>
      </c>
      <c r="J29" s="1">
        <v>0.93603800183539498</v>
      </c>
      <c r="K29" s="1" t="s">
        <v>23</v>
      </c>
      <c r="L29" s="1">
        <v>12</v>
      </c>
      <c r="M29" s="1">
        <v>1.7208699999999999</v>
      </c>
      <c r="N29" s="1">
        <v>2.0255937970697002</v>
      </c>
      <c r="O29" s="1">
        <f t="shared" si="0"/>
        <v>2.1421399999999999</v>
      </c>
      <c r="P29" s="1">
        <f t="shared" si="1"/>
        <v>-2.3158266666666658</v>
      </c>
      <c r="Q29" s="1">
        <f t="shared" si="2"/>
        <v>1</v>
      </c>
    </row>
    <row r="30" spans="1:17" s="1" customFormat="1" x14ac:dyDescent="0.2">
      <c r="A30" s="1" t="s">
        <v>95</v>
      </c>
      <c r="B30" s="1">
        <v>1</v>
      </c>
      <c r="C30" s="1">
        <v>-0.76093</v>
      </c>
      <c r="E30" s="1" t="s">
        <v>38</v>
      </c>
      <c r="F30" s="1" t="s">
        <v>96</v>
      </c>
      <c r="G30" s="1" t="s">
        <v>39</v>
      </c>
      <c r="H30" s="1">
        <v>6</v>
      </c>
      <c r="I30" s="1">
        <v>2.2193033333333299</v>
      </c>
      <c r="J30" s="1">
        <v>2.10856206151648</v>
      </c>
      <c r="K30" s="1" t="s">
        <v>97</v>
      </c>
      <c r="L30" s="1">
        <v>11</v>
      </c>
      <c r="M30" s="1">
        <v>-0.67713818181818197</v>
      </c>
      <c r="N30" s="1">
        <v>0.53652474380625104</v>
      </c>
      <c r="O30" s="1">
        <f t="shared" si="0"/>
        <v>1.5421651515151478</v>
      </c>
      <c r="P30" s="1">
        <f t="shared" si="1"/>
        <v>-2.3030951515151479</v>
      </c>
      <c r="Q30" s="1">
        <f t="shared" si="2"/>
        <v>1</v>
      </c>
    </row>
    <row r="31" spans="1:17" s="1" customFormat="1" x14ac:dyDescent="0.2">
      <c r="A31" s="1" t="s">
        <v>98</v>
      </c>
      <c r="B31" s="1">
        <v>1</v>
      </c>
      <c r="C31" s="1">
        <v>-0.85658000000000001</v>
      </c>
      <c r="E31" s="1" t="s">
        <v>99</v>
      </c>
      <c r="F31" s="1" t="s">
        <v>61</v>
      </c>
      <c r="G31" s="1" t="s">
        <v>100</v>
      </c>
      <c r="H31" s="1">
        <v>9</v>
      </c>
      <c r="I31" s="1">
        <v>-8.8165555555555497E-2</v>
      </c>
      <c r="J31" s="1">
        <v>1.19505751278035</v>
      </c>
      <c r="K31" s="1" t="s">
        <v>63</v>
      </c>
      <c r="L31" s="1">
        <v>8</v>
      </c>
      <c r="M31" s="1">
        <v>1.5330999999999999</v>
      </c>
      <c r="N31" s="1">
        <v>3.6639506145026401</v>
      </c>
      <c r="O31" s="1">
        <f t="shared" si="0"/>
        <v>1.4449344444444443</v>
      </c>
      <c r="P31" s="1">
        <f t="shared" si="1"/>
        <v>-2.3015144444444444</v>
      </c>
      <c r="Q31" s="1">
        <f t="shared" si="2"/>
        <v>1</v>
      </c>
    </row>
    <row r="32" spans="1:17" s="1" customFormat="1" x14ac:dyDescent="0.2">
      <c r="A32" s="1" t="s">
        <v>101</v>
      </c>
      <c r="B32" s="1">
        <v>1</v>
      </c>
      <c r="C32" s="1">
        <v>-1.2442</v>
      </c>
      <c r="E32" s="1" t="s">
        <v>76</v>
      </c>
      <c r="F32" s="1" t="s">
        <v>21</v>
      </c>
      <c r="G32" s="1" t="s">
        <v>77</v>
      </c>
      <c r="H32" s="1">
        <v>7</v>
      </c>
      <c r="I32" s="1">
        <v>-0.69767571428571395</v>
      </c>
      <c r="J32" s="1">
        <v>1.37870291931531</v>
      </c>
      <c r="K32" s="1" t="s">
        <v>23</v>
      </c>
      <c r="L32" s="1">
        <v>12</v>
      </c>
      <c r="M32" s="1">
        <v>1.7208699999999999</v>
      </c>
      <c r="N32" s="1">
        <v>2.0255937970697002</v>
      </c>
      <c r="O32" s="1">
        <f t="shared" si="0"/>
        <v>1.0231942857142859</v>
      </c>
      <c r="P32" s="1">
        <f t="shared" si="1"/>
        <v>-2.2673942857142859</v>
      </c>
      <c r="Q32" s="1">
        <f t="shared" si="2"/>
        <v>1</v>
      </c>
    </row>
    <row r="33" spans="1:17" s="1" customFormat="1" x14ac:dyDescent="0.2">
      <c r="A33" s="1" t="s">
        <v>102</v>
      </c>
      <c r="B33" s="1">
        <v>2</v>
      </c>
      <c r="C33" s="1">
        <v>-0.79962999999999995</v>
      </c>
      <c r="D33" s="1">
        <v>3.11551247790792E-2</v>
      </c>
      <c r="E33" s="1" t="s">
        <v>103</v>
      </c>
      <c r="F33" s="1" t="s">
        <v>61</v>
      </c>
      <c r="G33" s="1" t="s">
        <v>104</v>
      </c>
      <c r="H33" s="1">
        <v>9</v>
      </c>
      <c r="I33" s="1">
        <v>-0.102438888888888</v>
      </c>
      <c r="J33" s="1">
        <v>1.10975557567245</v>
      </c>
      <c r="K33" s="1" t="s">
        <v>63</v>
      </c>
      <c r="L33" s="1">
        <v>8</v>
      </c>
      <c r="M33" s="1">
        <v>1.5330999999999999</v>
      </c>
      <c r="N33" s="1">
        <v>3.6639506145026401</v>
      </c>
      <c r="O33" s="1">
        <f t="shared" si="0"/>
        <v>1.4306611111111118</v>
      </c>
      <c r="P33" s="1">
        <f t="shared" si="1"/>
        <v>-2.2302911111111117</v>
      </c>
      <c r="Q33" s="1">
        <f t="shared" si="2"/>
        <v>1</v>
      </c>
    </row>
    <row r="34" spans="1:17" s="1" customFormat="1" x14ac:dyDescent="0.2">
      <c r="A34" s="1" t="s">
        <v>109</v>
      </c>
      <c r="B34" s="1">
        <v>3</v>
      </c>
      <c r="C34" s="1">
        <v>0.54079999999999995</v>
      </c>
      <c r="D34" s="1">
        <v>3.4221006808683998</v>
      </c>
      <c r="E34" s="1" t="s">
        <v>50</v>
      </c>
      <c r="F34" s="1" t="s">
        <v>31</v>
      </c>
      <c r="G34" s="1" t="s">
        <v>52</v>
      </c>
      <c r="H34" s="1">
        <v>9</v>
      </c>
      <c r="I34" s="1">
        <v>1.6130088888888801</v>
      </c>
      <c r="J34" s="1">
        <v>1.1447563417322</v>
      </c>
      <c r="K34" s="1" t="s">
        <v>33</v>
      </c>
      <c r="L34" s="1">
        <v>13</v>
      </c>
      <c r="M34" s="1">
        <v>1.12689461538461</v>
      </c>
      <c r="N34" s="1">
        <v>2.6514113909218699</v>
      </c>
      <c r="O34" s="1">
        <f t="shared" si="0"/>
        <v>2.7399035042734901</v>
      </c>
      <c r="P34" s="1">
        <f t="shared" si="1"/>
        <v>-2.1991035042734901</v>
      </c>
      <c r="Q34" s="1">
        <f t="shared" si="2"/>
        <v>1</v>
      </c>
    </row>
    <row r="35" spans="1:17" s="1" customFormat="1" x14ac:dyDescent="0.2">
      <c r="A35" s="1" t="s">
        <v>224</v>
      </c>
      <c r="B35" s="1">
        <v>2</v>
      </c>
      <c r="C35" s="1">
        <v>-1.1881999999999999</v>
      </c>
      <c r="D35" s="1">
        <v>4.94974746830582E-2</v>
      </c>
      <c r="E35" s="1" t="s">
        <v>82</v>
      </c>
      <c r="F35" s="1" t="s">
        <v>28</v>
      </c>
      <c r="G35" s="1" t="s">
        <v>83</v>
      </c>
      <c r="H35" s="1">
        <v>5</v>
      </c>
      <c r="I35" s="1">
        <v>1.033558</v>
      </c>
      <c r="J35" s="1">
        <v>1.29359803757581</v>
      </c>
      <c r="K35" s="1" t="s">
        <v>58</v>
      </c>
      <c r="L35" s="1">
        <v>13</v>
      </c>
      <c r="M35" s="1">
        <v>-5.0181538461538402E-2</v>
      </c>
      <c r="N35" s="1">
        <v>1.17547401340796</v>
      </c>
      <c r="O35" s="1">
        <f t="shared" si="0"/>
        <v>0.98337646153846159</v>
      </c>
      <c r="P35" s="1">
        <f t="shared" si="1"/>
        <v>-2.1715764615384616</v>
      </c>
      <c r="Q35" s="1">
        <f t="shared" si="2"/>
        <v>1</v>
      </c>
    </row>
    <row r="36" spans="1:17" s="1" customFormat="1" x14ac:dyDescent="0.2">
      <c r="A36" s="1" t="s">
        <v>148</v>
      </c>
      <c r="B36" s="1">
        <v>5</v>
      </c>
      <c r="C36" s="1">
        <v>-0.32844200000000001</v>
      </c>
      <c r="D36" s="1">
        <v>0.95047370338163395</v>
      </c>
      <c r="E36" s="1" t="s">
        <v>89</v>
      </c>
      <c r="F36" s="1" t="s">
        <v>31</v>
      </c>
      <c r="G36" s="1" t="s">
        <v>90</v>
      </c>
      <c r="H36" s="1">
        <v>10</v>
      </c>
      <c r="I36" s="1">
        <v>0.71304500000000004</v>
      </c>
      <c r="J36" s="1">
        <v>1.2054066597188</v>
      </c>
      <c r="K36" s="1" t="s">
        <v>33</v>
      </c>
      <c r="L36" s="1">
        <v>13</v>
      </c>
      <c r="M36" s="1">
        <v>1.12689461538461</v>
      </c>
      <c r="N36" s="1">
        <v>2.6514113909218699</v>
      </c>
      <c r="O36" s="1">
        <f t="shared" si="0"/>
        <v>1.8399396153846101</v>
      </c>
      <c r="P36" s="1">
        <f t="shared" si="1"/>
        <v>-2.1683816153846101</v>
      </c>
      <c r="Q36" s="1">
        <f t="shared" si="2"/>
        <v>1</v>
      </c>
    </row>
    <row r="37" spans="1:17" s="1" customFormat="1" x14ac:dyDescent="0.2">
      <c r="A37" s="1" t="s">
        <v>108</v>
      </c>
      <c r="B37" s="1">
        <v>2</v>
      </c>
      <c r="C37" s="1">
        <v>-0.53993999999999998</v>
      </c>
      <c r="D37" s="1">
        <v>2.0620082267537101</v>
      </c>
      <c r="E37" s="1" t="s">
        <v>30</v>
      </c>
      <c r="F37" s="1" t="s">
        <v>51</v>
      </c>
      <c r="G37" s="1" t="s">
        <v>32</v>
      </c>
      <c r="H37" s="1">
        <v>4</v>
      </c>
      <c r="I37" s="1">
        <v>1.3223024999999999</v>
      </c>
      <c r="J37" s="1">
        <v>0.83827518044991201</v>
      </c>
      <c r="K37" s="1" t="s">
        <v>29</v>
      </c>
      <c r="L37" s="1">
        <v>11</v>
      </c>
      <c r="M37" s="1">
        <v>0.28300999999999998</v>
      </c>
      <c r="N37" s="1">
        <v>1.4668923681374799</v>
      </c>
      <c r="O37" s="1">
        <f t="shared" si="0"/>
        <v>1.6053124999999999</v>
      </c>
      <c r="P37" s="1">
        <f t="shared" si="1"/>
        <v>-2.1452524999999998</v>
      </c>
      <c r="Q37" s="1">
        <f t="shared" si="2"/>
        <v>1</v>
      </c>
    </row>
    <row r="38" spans="1:17" s="1" customFormat="1" x14ac:dyDescent="0.2">
      <c r="A38" s="1" t="s">
        <v>257</v>
      </c>
      <c r="B38" s="1">
        <v>2</v>
      </c>
      <c r="C38" s="1">
        <v>0.89204499999999998</v>
      </c>
      <c r="D38" s="1">
        <v>4.5403326419988198E-2</v>
      </c>
      <c r="E38" s="1" t="s">
        <v>50</v>
      </c>
      <c r="F38" s="1" t="s">
        <v>25</v>
      </c>
      <c r="G38" s="1" t="s">
        <v>52</v>
      </c>
      <c r="H38" s="1">
        <v>9</v>
      </c>
      <c r="I38" s="1">
        <v>1.6130088888888801</v>
      </c>
      <c r="J38" s="1">
        <v>1.1447563417322</v>
      </c>
      <c r="K38" s="1" t="s">
        <v>26</v>
      </c>
      <c r="L38" s="1">
        <v>12</v>
      </c>
      <c r="M38" s="1">
        <v>1.4098866666666601</v>
      </c>
      <c r="N38" s="1">
        <v>2.4071265767048402</v>
      </c>
      <c r="O38" s="1">
        <f t="shared" si="0"/>
        <v>3.0228955555555403</v>
      </c>
      <c r="P38" s="1">
        <f t="shared" si="1"/>
        <v>-2.1308505555555404</v>
      </c>
      <c r="Q38" s="1">
        <f t="shared" si="2"/>
        <v>1</v>
      </c>
    </row>
    <row r="39" spans="1:17" s="1" customFormat="1" x14ac:dyDescent="0.2">
      <c r="A39" s="1" t="s">
        <v>110</v>
      </c>
      <c r="B39" s="1">
        <v>1</v>
      </c>
      <c r="C39" s="1">
        <v>-1.0828</v>
      </c>
      <c r="E39" s="1" t="s">
        <v>50</v>
      </c>
      <c r="F39" s="1" t="s">
        <v>111</v>
      </c>
      <c r="G39" s="1" t="s">
        <v>52</v>
      </c>
      <c r="H39" s="1">
        <v>9</v>
      </c>
      <c r="I39" s="1">
        <v>1.6130088888888801</v>
      </c>
      <c r="J39" s="1">
        <v>1.1447563417322</v>
      </c>
      <c r="K39" s="1" t="s">
        <v>112</v>
      </c>
      <c r="L39" s="1">
        <v>8</v>
      </c>
      <c r="M39" s="1">
        <v>-0.57354125</v>
      </c>
      <c r="N39" s="1">
        <v>1.08103701105449</v>
      </c>
      <c r="O39" s="1">
        <f t="shared" si="0"/>
        <v>1.0394676388888802</v>
      </c>
      <c r="P39" s="1">
        <f t="shared" si="1"/>
        <v>-2.1222676388888804</v>
      </c>
      <c r="Q39" s="1">
        <f t="shared" si="2"/>
        <v>1</v>
      </c>
    </row>
    <row r="40" spans="1:17" s="1" customFormat="1" x14ac:dyDescent="0.2">
      <c r="A40" s="1" t="s">
        <v>113</v>
      </c>
      <c r="B40" s="1">
        <v>2</v>
      </c>
      <c r="C40" s="1">
        <v>-0.30000500000000002</v>
      </c>
      <c r="D40" s="1">
        <v>1.63595517788538</v>
      </c>
      <c r="E40" s="1" t="s">
        <v>114</v>
      </c>
      <c r="F40" s="1" t="s">
        <v>115</v>
      </c>
      <c r="G40" s="1" t="s">
        <v>116</v>
      </c>
      <c r="H40" s="1">
        <v>11</v>
      </c>
      <c r="I40" s="1">
        <v>1.68324272727272</v>
      </c>
      <c r="J40" s="1">
        <v>1.46712339504276</v>
      </c>
      <c r="K40" s="1" t="s">
        <v>117</v>
      </c>
      <c r="L40" s="1">
        <v>9</v>
      </c>
      <c r="M40" s="1">
        <v>0.137493333333333</v>
      </c>
      <c r="N40" s="1">
        <v>1.4100316225354601</v>
      </c>
      <c r="O40" s="1">
        <f t="shared" si="0"/>
        <v>1.820736060606053</v>
      </c>
      <c r="P40" s="1">
        <f t="shared" si="1"/>
        <v>-2.1207410606060528</v>
      </c>
      <c r="Q40" s="1">
        <f t="shared" si="2"/>
        <v>1</v>
      </c>
    </row>
    <row r="41" spans="1:17" s="1" customFormat="1" x14ac:dyDescent="0.2">
      <c r="A41" s="1" t="s">
        <v>118</v>
      </c>
      <c r="B41" s="1">
        <v>3</v>
      </c>
      <c r="C41" s="1">
        <v>2.6585166666666602</v>
      </c>
      <c r="D41" s="1">
        <v>3.2622370027993499</v>
      </c>
      <c r="E41" s="1" t="s">
        <v>20</v>
      </c>
      <c r="F41" s="1" t="s">
        <v>44</v>
      </c>
      <c r="G41" s="1" t="s">
        <v>22</v>
      </c>
      <c r="H41" s="1">
        <v>11</v>
      </c>
      <c r="I41" s="1">
        <v>3.5028990909090898</v>
      </c>
      <c r="J41" s="1">
        <v>3.7668957679777999</v>
      </c>
      <c r="K41" s="1" t="s">
        <v>45</v>
      </c>
      <c r="L41" s="1">
        <v>9</v>
      </c>
      <c r="M41" s="1">
        <v>1.2713288888888801</v>
      </c>
      <c r="N41" s="1">
        <v>2.2624284591641999</v>
      </c>
      <c r="O41" s="1">
        <f t="shared" si="0"/>
        <v>4.7742279797979696</v>
      </c>
      <c r="P41" s="1">
        <f t="shared" si="1"/>
        <v>-2.1157113131313094</v>
      </c>
      <c r="Q41" s="1">
        <f t="shared" si="2"/>
        <v>1</v>
      </c>
    </row>
    <row r="42" spans="1:17" s="1" customFormat="1" x14ac:dyDescent="0.2">
      <c r="A42" s="1" t="s">
        <v>119</v>
      </c>
      <c r="B42" s="1">
        <v>2</v>
      </c>
      <c r="C42" s="1">
        <v>-1.2744499999999901</v>
      </c>
      <c r="D42" s="1">
        <v>0.344573134472204</v>
      </c>
      <c r="E42" s="1" t="s">
        <v>55</v>
      </c>
      <c r="F42" s="1" t="s">
        <v>47</v>
      </c>
      <c r="G42" s="1" t="s">
        <v>56</v>
      </c>
      <c r="H42" s="1">
        <v>10</v>
      </c>
      <c r="I42" s="1">
        <v>0.388548</v>
      </c>
      <c r="J42" s="1">
        <v>0.94956471628729799</v>
      </c>
      <c r="K42" s="1" t="s">
        <v>48</v>
      </c>
      <c r="L42" s="1">
        <v>13</v>
      </c>
      <c r="M42" s="1">
        <v>0.39538538461538397</v>
      </c>
      <c r="N42" s="1">
        <v>1.9995421937267499</v>
      </c>
      <c r="O42" s="1">
        <f t="shared" si="0"/>
        <v>0.78393338461538398</v>
      </c>
      <c r="P42" s="1">
        <f t="shared" si="1"/>
        <v>-2.0583833846153743</v>
      </c>
      <c r="Q42" s="1">
        <f t="shared" si="2"/>
        <v>1</v>
      </c>
    </row>
    <row r="43" spans="1:17" s="1" customFormat="1" x14ac:dyDescent="0.2">
      <c r="A43" s="1" t="s">
        <v>175</v>
      </c>
      <c r="B43" s="1">
        <v>2</v>
      </c>
      <c r="C43" s="1">
        <v>-0.22053</v>
      </c>
      <c r="D43" s="1">
        <v>1.2950943540144</v>
      </c>
      <c r="E43" s="1" t="s">
        <v>93</v>
      </c>
      <c r="F43" s="1" t="s">
        <v>25</v>
      </c>
      <c r="G43" s="1" t="s">
        <v>94</v>
      </c>
      <c r="H43" s="1">
        <v>6</v>
      </c>
      <c r="I43" s="1">
        <v>0.42126999999999998</v>
      </c>
      <c r="J43" s="1">
        <v>0.93603800183539498</v>
      </c>
      <c r="K43" s="1" t="s">
        <v>26</v>
      </c>
      <c r="L43" s="1">
        <v>12</v>
      </c>
      <c r="M43" s="1">
        <v>1.4098866666666601</v>
      </c>
      <c r="N43" s="1">
        <v>2.4071265767048402</v>
      </c>
      <c r="O43" s="1">
        <f t="shared" si="0"/>
        <v>1.8311566666666601</v>
      </c>
      <c r="P43" s="1">
        <f t="shared" si="1"/>
        <v>-2.0516866666666602</v>
      </c>
      <c r="Q43" s="1">
        <f t="shared" si="2"/>
        <v>1</v>
      </c>
    </row>
    <row r="44" spans="1:17" s="1" customFormat="1" x14ac:dyDescent="0.2">
      <c r="A44" s="1" t="s">
        <v>121</v>
      </c>
      <c r="B44" s="1">
        <v>2</v>
      </c>
      <c r="C44" s="1">
        <v>-1.7112499999999999</v>
      </c>
      <c r="D44" s="1">
        <v>0.45078057300642299</v>
      </c>
      <c r="E44" s="1" t="s">
        <v>103</v>
      </c>
      <c r="F44" s="1" t="s">
        <v>47</v>
      </c>
      <c r="G44" s="1" t="s">
        <v>104</v>
      </c>
      <c r="H44" s="1">
        <v>9</v>
      </c>
      <c r="I44" s="1">
        <v>-0.102438888888888</v>
      </c>
      <c r="J44" s="1">
        <v>1.10975557567245</v>
      </c>
      <c r="K44" s="1" t="s">
        <v>48</v>
      </c>
      <c r="L44" s="1">
        <v>13</v>
      </c>
      <c r="M44" s="1">
        <v>0.39538538461538397</v>
      </c>
      <c r="N44" s="1">
        <v>1.9995421937267499</v>
      </c>
      <c r="O44" s="1">
        <f t="shared" si="0"/>
        <v>0.292946495726496</v>
      </c>
      <c r="P44" s="1">
        <f t="shared" si="1"/>
        <v>-2.0041964957264957</v>
      </c>
      <c r="Q44" s="1">
        <f t="shared" si="2"/>
        <v>1</v>
      </c>
    </row>
    <row r="45" spans="1:17" s="1" customFormat="1" x14ac:dyDescent="0.2">
      <c r="A45" s="1" t="s">
        <v>122</v>
      </c>
      <c r="B45" s="1">
        <v>2</v>
      </c>
      <c r="C45" s="1">
        <v>1.04189</v>
      </c>
      <c r="D45" s="1">
        <v>6.8179235842006899E-2</v>
      </c>
      <c r="E45" s="1" t="s">
        <v>30</v>
      </c>
      <c r="F45" s="1" t="s">
        <v>21</v>
      </c>
      <c r="G45" s="1" t="s">
        <v>32</v>
      </c>
      <c r="H45" s="1">
        <v>4</v>
      </c>
      <c r="I45" s="1">
        <v>1.3223024999999999</v>
      </c>
      <c r="J45" s="1">
        <v>0.83827518044991201</v>
      </c>
      <c r="K45" s="1" t="s">
        <v>23</v>
      </c>
      <c r="L45" s="1">
        <v>12</v>
      </c>
      <c r="M45" s="1">
        <v>1.7208699999999999</v>
      </c>
      <c r="N45" s="1">
        <v>2.0255937970697002</v>
      </c>
      <c r="O45" s="1">
        <f t="shared" si="0"/>
        <v>3.0431724999999998</v>
      </c>
      <c r="P45" s="1">
        <f t="shared" si="1"/>
        <v>-2.0012824999999999</v>
      </c>
      <c r="Q45" s="1">
        <f t="shared" si="2"/>
        <v>1</v>
      </c>
    </row>
    <row r="46" spans="1:17" s="1" customFormat="1" x14ac:dyDescent="0.2">
      <c r="A46" s="1" t="s">
        <v>345</v>
      </c>
      <c r="B46" s="1">
        <v>1</v>
      </c>
      <c r="C46" s="1">
        <v>-0.94728000000000001</v>
      </c>
      <c r="E46" s="1" t="s">
        <v>99</v>
      </c>
      <c r="F46" s="1" t="s">
        <v>31</v>
      </c>
      <c r="G46" s="1" t="s">
        <v>100</v>
      </c>
      <c r="H46" s="1">
        <v>9</v>
      </c>
      <c r="I46" s="1">
        <v>-8.8165555555555497E-2</v>
      </c>
      <c r="J46" s="1">
        <v>1.19505751278035</v>
      </c>
      <c r="K46" s="1" t="s">
        <v>33</v>
      </c>
      <c r="L46" s="1">
        <v>13</v>
      </c>
      <c r="M46" s="1">
        <v>1.12689461538461</v>
      </c>
      <c r="N46" s="1">
        <v>2.6514113909218699</v>
      </c>
      <c r="O46" s="1">
        <f t="shared" si="0"/>
        <v>1.0387290598290546</v>
      </c>
      <c r="P46" s="1">
        <f t="shared" si="1"/>
        <v>-1.9860090598290547</v>
      </c>
      <c r="Q46" s="1">
        <f t="shared" si="2"/>
        <v>1</v>
      </c>
    </row>
    <row r="47" spans="1:17" s="1" customFormat="1" x14ac:dyDescent="0.2">
      <c r="A47" s="1" t="s">
        <v>124</v>
      </c>
      <c r="B47" s="1">
        <v>1</v>
      </c>
      <c r="C47" s="1">
        <v>-1.5246999999999999</v>
      </c>
      <c r="E47" s="1" t="s">
        <v>82</v>
      </c>
      <c r="F47" s="1" t="s">
        <v>111</v>
      </c>
      <c r="G47" s="1" t="s">
        <v>83</v>
      </c>
      <c r="H47" s="1">
        <v>5</v>
      </c>
      <c r="I47" s="1">
        <v>1.033558</v>
      </c>
      <c r="J47" s="1">
        <v>1.29359803757581</v>
      </c>
      <c r="K47" s="1" t="s">
        <v>112</v>
      </c>
      <c r="L47" s="1">
        <v>8</v>
      </c>
      <c r="M47" s="1">
        <v>-0.57354125</v>
      </c>
      <c r="N47" s="1">
        <v>1.08103701105449</v>
      </c>
      <c r="O47" s="1">
        <f t="shared" si="0"/>
        <v>0.46001674999999997</v>
      </c>
      <c r="P47" s="1">
        <f t="shared" si="1"/>
        <v>-1.98471675</v>
      </c>
      <c r="Q47" s="1">
        <f t="shared" si="2"/>
        <v>1</v>
      </c>
    </row>
    <row r="48" spans="1:17" s="1" customFormat="1" x14ac:dyDescent="0.2">
      <c r="A48" s="1" t="s">
        <v>125</v>
      </c>
      <c r="B48" s="1">
        <v>2</v>
      </c>
      <c r="C48" s="1">
        <v>-1.2683</v>
      </c>
      <c r="D48" s="1">
        <v>0.102530483272049</v>
      </c>
      <c r="E48" s="1" t="s">
        <v>93</v>
      </c>
      <c r="F48" s="1" t="s">
        <v>51</v>
      </c>
      <c r="G48" s="1" t="s">
        <v>94</v>
      </c>
      <c r="H48" s="1">
        <v>6</v>
      </c>
      <c r="I48" s="1">
        <v>0.42126999999999998</v>
      </c>
      <c r="J48" s="1">
        <v>0.93603800183539498</v>
      </c>
      <c r="K48" s="1" t="s">
        <v>29</v>
      </c>
      <c r="L48" s="1">
        <v>11</v>
      </c>
      <c r="M48" s="1">
        <v>0.28300999999999998</v>
      </c>
      <c r="N48" s="1">
        <v>1.4668923681374799</v>
      </c>
      <c r="O48" s="1">
        <f t="shared" si="0"/>
        <v>0.70428000000000002</v>
      </c>
      <c r="P48" s="1">
        <f t="shared" si="1"/>
        <v>-1.97258</v>
      </c>
      <c r="Q48" s="1">
        <f t="shared" si="2"/>
        <v>1</v>
      </c>
    </row>
    <row r="49" spans="1:17" s="1" customFormat="1" x14ac:dyDescent="0.2">
      <c r="A49" s="1" t="s">
        <v>126</v>
      </c>
      <c r="B49" s="1">
        <v>4</v>
      </c>
      <c r="C49" s="1">
        <v>1.8427499999999899E-2</v>
      </c>
      <c r="D49" s="1">
        <v>1.23550823219637</v>
      </c>
      <c r="E49" s="1" t="s">
        <v>89</v>
      </c>
      <c r="F49" s="1" t="s">
        <v>44</v>
      </c>
      <c r="G49" s="1" t="s">
        <v>90</v>
      </c>
      <c r="H49" s="1">
        <v>10</v>
      </c>
      <c r="I49" s="1">
        <v>0.71304500000000004</v>
      </c>
      <c r="J49" s="1">
        <v>1.2054066597188</v>
      </c>
      <c r="K49" s="1" t="s">
        <v>45</v>
      </c>
      <c r="L49" s="1">
        <v>9</v>
      </c>
      <c r="M49" s="1">
        <v>1.2713288888888801</v>
      </c>
      <c r="N49" s="1">
        <v>2.2624284591641999</v>
      </c>
      <c r="O49" s="1">
        <f t="shared" si="0"/>
        <v>1.98437388888888</v>
      </c>
      <c r="P49" s="1">
        <f t="shared" si="1"/>
        <v>-1.9659463888888802</v>
      </c>
      <c r="Q49" s="1">
        <f t="shared" si="2"/>
        <v>1</v>
      </c>
    </row>
    <row r="50" spans="1:17" s="1" customFormat="1" x14ac:dyDescent="0.2">
      <c r="A50" s="1" t="s">
        <v>275</v>
      </c>
      <c r="B50" s="1">
        <v>3</v>
      </c>
      <c r="C50" s="1">
        <v>1.3389</v>
      </c>
      <c r="D50" s="1">
        <v>0.37775484113377</v>
      </c>
      <c r="E50" s="1" t="s">
        <v>127</v>
      </c>
      <c r="F50" s="1" t="s">
        <v>25</v>
      </c>
      <c r="G50" s="1" t="s">
        <v>128</v>
      </c>
      <c r="H50" s="1">
        <v>10</v>
      </c>
      <c r="I50" s="1">
        <v>1.880876</v>
      </c>
      <c r="J50" s="1">
        <v>1.92300027836249</v>
      </c>
      <c r="K50" s="1" t="s">
        <v>26</v>
      </c>
      <c r="L50" s="1">
        <v>12</v>
      </c>
      <c r="M50" s="1">
        <v>1.4098866666666601</v>
      </c>
      <c r="N50" s="1">
        <v>2.4071265767048402</v>
      </c>
      <c r="O50" s="1">
        <f t="shared" si="0"/>
        <v>3.2907626666666601</v>
      </c>
      <c r="P50" s="1">
        <f t="shared" si="1"/>
        <v>-1.9518626666666601</v>
      </c>
      <c r="Q50" s="1">
        <f t="shared" si="2"/>
        <v>1</v>
      </c>
    </row>
    <row r="51" spans="1:17" s="1" customFormat="1" x14ac:dyDescent="0.2">
      <c r="A51" s="1" t="s">
        <v>129</v>
      </c>
      <c r="B51" s="1">
        <v>1</v>
      </c>
      <c r="C51" s="1">
        <v>-1.2722</v>
      </c>
      <c r="E51" s="1" t="s">
        <v>55</v>
      </c>
      <c r="F51" s="1" t="s">
        <v>51</v>
      </c>
      <c r="G51" s="1" t="s">
        <v>56</v>
      </c>
      <c r="H51" s="1">
        <v>10</v>
      </c>
      <c r="I51" s="1">
        <v>0.388548</v>
      </c>
      <c r="J51" s="1">
        <v>0.94956471628729799</v>
      </c>
      <c r="K51" s="1" t="s">
        <v>29</v>
      </c>
      <c r="L51" s="1">
        <v>11</v>
      </c>
      <c r="M51" s="1">
        <v>0.28300999999999998</v>
      </c>
      <c r="N51" s="1">
        <v>1.4668923681374799</v>
      </c>
      <c r="O51" s="1">
        <f t="shared" si="0"/>
        <v>0.67155799999999999</v>
      </c>
      <c r="P51" s="1">
        <f t="shared" si="1"/>
        <v>-1.9437579999999999</v>
      </c>
      <c r="Q51" s="1">
        <f t="shared" si="2"/>
        <v>1</v>
      </c>
    </row>
    <row r="52" spans="1:17" s="1" customFormat="1" x14ac:dyDescent="0.2">
      <c r="A52" s="1" t="s">
        <v>130</v>
      </c>
      <c r="B52" s="1">
        <v>2</v>
      </c>
      <c r="C52" s="1">
        <v>1.3137749999999999</v>
      </c>
      <c r="D52" s="1">
        <v>0.62610769940162803</v>
      </c>
      <c r="E52" s="1" t="s">
        <v>114</v>
      </c>
      <c r="F52" s="1" t="s">
        <v>61</v>
      </c>
      <c r="G52" s="1" t="s">
        <v>116</v>
      </c>
      <c r="H52" s="1">
        <v>11</v>
      </c>
      <c r="I52" s="1">
        <v>1.68324272727272</v>
      </c>
      <c r="J52" s="1">
        <v>1.46712339504276</v>
      </c>
      <c r="K52" s="1" t="s">
        <v>63</v>
      </c>
      <c r="L52" s="1">
        <v>8</v>
      </c>
      <c r="M52" s="1">
        <v>1.5330999999999999</v>
      </c>
      <c r="N52" s="1">
        <v>3.6639506145026401</v>
      </c>
      <c r="O52" s="1">
        <f t="shared" si="0"/>
        <v>3.2163427272727199</v>
      </c>
      <c r="P52" s="1">
        <f t="shared" si="1"/>
        <v>-1.9025677272727199</v>
      </c>
      <c r="Q52" s="1">
        <f t="shared" si="2"/>
        <v>1</v>
      </c>
    </row>
    <row r="53" spans="1:17" s="1" customFormat="1" x14ac:dyDescent="0.2">
      <c r="A53" s="1" t="s">
        <v>131</v>
      </c>
      <c r="B53" s="1">
        <v>2</v>
      </c>
      <c r="C53" s="1">
        <v>-3.1844999999999998E-2</v>
      </c>
      <c r="D53" s="1">
        <v>1.3656282554377599</v>
      </c>
      <c r="E53" s="1" t="s">
        <v>38</v>
      </c>
      <c r="F53" s="1" t="s">
        <v>41</v>
      </c>
      <c r="G53" s="1" t="s">
        <v>39</v>
      </c>
      <c r="H53" s="1">
        <v>6</v>
      </c>
      <c r="I53" s="1">
        <v>2.2193033333333299</v>
      </c>
      <c r="J53" s="1">
        <v>2.10856206151648</v>
      </c>
      <c r="K53" s="1" t="s">
        <v>42</v>
      </c>
      <c r="L53" s="1">
        <v>8</v>
      </c>
      <c r="M53" s="1">
        <v>-0.36432874999999998</v>
      </c>
      <c r="N53" s="1">
        <v>1.09705879965397</v>
      </c>
      <c r="O53" s="1">
        <f t="shared" si="0"/>
        <v>1.85497458333333</v>
      </c>
      <c r="P53" s="1">
        <f t="shared" si="1"/>
        <v>-1.8868195833333299</v>
      </c>
      <c r="Q53" s="1">
        <f t="shared" si="2"/>
        <v>1</v>
      </c>
    </row>
    <row r="54" spans="1:17" s="1" customFormat="1" x14ac:dyDescent="0.2">
      <c r="A54" s="1" t="s">
        <v>132</v>
      </c>
      <c r="B54" s="1">
        <v>3</v>
      </c>
      <c r="C54" s="1">
        <v>-1.3010333333333299</v>
      </c>
      <c r="D54" s="1">
        <v>0.251897942296743</v>
      </c>
      <c r="E54" s="1" t="s">
        <v>76</v>
      </c>
      <c r="F54" s="1" t="s">
        <v>44</v>
      </c>
      <c r="G54" s="1" t="s">
        <v>77</v>
      </c>
      <c r="H54" s="1">
        <v>7</v>
      </c>
      <c r="I54" s="1">
        <v>-0.69767571428571395</v>
      </c>
      <c r="J54" s="1">
        <v>1.37870291931531</v>
      </c>
      <c r="K54" s="1" t="s">
        <v>45</v>
      </c>
      <c r="L54" s="1">
        <v>9</v>
      </c>
      <c r="M54" s="1">
        <v>1.2713288888888801</v>
      </c>
      <c r="N54" s="1">
        <v>2.2624284591641999</v>
      </c>
      <c r="O54" s="1">
        <f t="shared" si="0"/>
        <v>0.57365317460316612</v>
      </c>
      <c r="P54" s="1">
        <f t="shared" si="1"/>
        <v>-1.874686507936496</v>
      </c>
      <c r="Q54" s="1">
        <f t="shared" si="2"/>
        <v>1</v>
      </c>
    </row>
    <row r="55" spans="1:17" s="1" customFormat="1" x14ac:dyDescent="0.2">
      <c r="A55" s="1" t="s">
        <v>133</v>
      </c>
      <c r="B55" s="1">
        <v>1</v>
      </c>
      <c r="C55" s="1">
        <v>-1.5003</v>
      </c>
      <c r="E55" s="1" t="s">
        <v>73</v>
      </c>
      <c r="F55" s="1" t="s">
        <v>47</v>
      </c>
      <c r="G55" s="1" t="s">
        <v>74</v>
      </c>
      <c r="H55" s="1">
        <v>7</v>
      </c>
      <c r="I55" s="1">
        <v>-3.2529999999999899E-2</v>
      </c>
      <c r="J55" s="1">
        <v>1.4564495190817</v>
      </c>
      <c r="K55" s="1" t="s">
        <v>48</v>
      </c>
      <c r="L55" s="1">
        <v>13</v>
      </c>
      <c r="M55" s="1">
        <v>0.39538538461538397</v>
      </c>
      <c r="N55" s="1">
        <v>1.9995421937267499</v>
      </c>
      <c r="O55" s="1">
        <f t="shared" si="0"/>
        <v>0.36285538461538408</v>
      </c>
      <c r="P55" s="1">
        <f t="shared" si="1"/>
        <v>-1.8631553846153841</v>
      </c>
      <c r="Q55" s="1">
        <f t="shared" si="2"/>
        <v>1</v>
      </c>
    </row>
    <row r="56" spans="1:17" s="1" customFormat="1" x14ac:dyDescent="0.2">
      <c r="A56" s="1" t="s">
        <v>134</v>
      </c>
      <c r="B56" s="1">
        <v>2</v>
      </c>
      <c r="C56" s="1">
        <v>-0.59736</v>
      </c>
      <c r="D56" s="1">
        <v>1.8258062775661601</v>
      </c>
      <c r="E56" s="1" t="s">
        <v>73</v>
      </c>
      <c r="F56" s="1" t="s">
        <v>44</v>
      </c>
      <c r="G56" s="1" t="s">
        <v>74</v>
      </c>
      <c r="H56" s="1">
        <v>7</v>
      </c>
      <c r="I56" s="1">
        <v>-3.2529999999999899E-2</v>
      </c>
      <c r="J56" s="1">
        <v>1.4564495190817</v>
      </c>
      <c r="K56" s="1" t="s">
        <v>45</v>
      </c>
      <c r="L56" s="1">
        <v>9</v>
      </c>
      <c r="M56" s="1">
        <v>1.2713288888888801</v>
      </c>
      <c r="N56" s="1">
        <v>2.2624284591641999</v>
      </c>
      <c r="O56" s="1">
        <f t="shared" si="0"/>
        <v>1.2387988888888801</v>
      </c>
      <c r="P56" s="1">
        <f t="shared" si="1"/>
        <v>-1.83615888888888</v>
      </c>
      <c r="Q56" s="1">
        <f t="shared" si="2"/>
        <v>1</v>
      </c>
    </row>
    <row r="57" spans="1:17" s="1" customFormat="1" x14ac:dyDescent="0.2">
      <c r="A57" s="1" t="s">
        <v>181</v>
      </c>
      <c r="B57" s="1">
        <v>1</v>
      </c>
      <c r="C57" s="1">
        <v>-0.80649999999999999</v>
      </c>
      <c r="E57" s="1" t="s">
        <v>103</v>
      </c>
      <c r="F57" s="1" t="s">
        <v>31</v>
      </c>
      <c r="G57" s="1" t="s">
        <v>104</v>
      </c>
      <c r="H57" s="1">
        <v>9</v>
      </c>
      <c r="I57" s="1">
        <v>-0.102438888888888</v>
      </c>
      <c r="J57" s="1">
        <v>1.10975557567245</v>
      </c>
      <c r="K57" s="1" t="s">
        <v>33</v>
      </c>
      <c r="L57" s="1">
        <v>13</v>
      </c>
      <c r="M57" s="1">
        <v>1.12689461538461</v>
      </c>
      <c r="N57" s="1">
        <v>2.6514113909218699</v>
      </c>
      <c r="O57" s="1">
        <f t="shared" si="0"/>
        <v>1.0244557264957219</v>
      </c>
      <c r="P57" s="1">
        <f t="shared" si="1"/>
        <v>-1.8309557264957219</v>
      </c>
      <c r="Q57" s="1">
        <f t="shared" si="2"/>
        <v>1</v>
      </c>
    </row>
    <row r="58" spans="1:17" s="1" customFormat="1" x14ac:dyDescent="0.2">
      <c r="A58" s="1" t="s">
        <v>136</v>
      </c>
      <c r="B58" s="1">
        <v>2</v>
      </c>
      <c r="C58" s="1">
        <v>-0.18162</v>
      </c>
      <c r="D58" s="1">
        <v>1.37105176444946</v>
      </c>
      <c r="E58" s="1" t="s">
        <v>38</v>
      </c>
      <c r="F58" s="1" t="s">
        <v>111</v>
      </c>
      <c r="G58" s="1" t="s">
        <v>39</v>
      </c>
      <c r="H58" s="1">
        <v>6</v>
      </c>
      <c r="I58" s="1">
        <v>2.2193033333333299</v>
      </c>
      <c r="J58" s="1">
        <v>2.10856206151648</v>
      </c>
      <c r="K58" s="1" t="s">
        <v>112</v>
      </c>
      <c r="L58" s="1">
        <v>8</v>
      </c>
      <c r="M58" s="1">
        <v>-0.57354125</v>
      </c>
      <c r="N58" s="1">
        <v>1.08103701105449</v>
      </c>
      <c r="O58" s="1">
        <f t="shared" si="0"/>
        <v>1.64576208333333</v>
      </c>
      <c r="P58" s="1">
        <f t="shared" si="1"/>
        <v>-1.8273820833333301</v>
      </c>
      <c r="Q58" s="1">
        <f t="shared" si="2"/>
        <v>1</v>
      </c>
    </row>
    <row r="59" spans="1:17" s="1" customFormat="1" x14ac:dyDescent="0.2">
      <c r="A59" s="1" t="s">
        <v>137</v>
      </c>
      <c r="B59" s="1">
        <v>2</v>
      </c>
      <c r="C59" s="1">
        <v>-0.98021499999999995</v>
      </c>
      <c r="D59" s="1">
        <v>0.32864201869207099</v>
      </c>
      <c r="E59" s="1" t="s">
        <v>93</v>
      </c>
      <c r="F59" s="1" t="s">
        <v>47</v>
      </c>
      <c r="G59" s="1" t="s">
        <v>94</v>
      </c>
      <c r="H59" s="1">
        <v>6</v>
      </c>
      <c r="I59" s="1">
        <v>0.42126999999999998</v>
      </c>
      <c r="J59" s="1">
        <v>0.93603800183539498</v>
      </c>
      <c r="K59" s="1" t="s">
        <v>48</v>
      </c>
      <c r="L59" s="1">
        <v>13</v>
      </c>
      <c r="M59" s="1">
        <v>0.39538538461538397</v>
      </c>
      <c r="N59" s="1">
        <v>1.9995421937267499</v>
      </c>
      <c r="O59" s="1">
        <f t="shared" si="0"/>
        <v>0.81665538461538389</v>
      </c>
      <c r="P59" s="1">
        <f t="shared" si="1"/>
        <v>-1.7968703846153837</v>
      </c>
      <c r="Q59" s="1">
        <f t="shared" si="2"/>
        <v>1</v>
      </c>
    </row>
    <row r="60" spans="1:17" s="1" customFormat="1" x14ac:dyDescent="0.2">
      <c r="A60" s="1" t="s">
        <v>54</v>
      </c>
      <c r="B60" s="1">
        <v>2</v>
      </c>
      <c r="C60" s="1">
        <v>-0.25842999999999899</v>
      </c>
      <c r="D60" s="1">
        <v>1.71426725390179</v>
      </c>
      <c r="E60" s="1" t="s">
        <v>55</v>
      </c>
      <c r="F60" s="1" t="s">
        <v>31</v>
      </c>
      <c r="G60" s="1" t="s">
        <v>56</v>
      </c>
      <c r="H60" s="1">
        <v>10</v>
      </c>
      <c r="I60" s="1">
        <v>0.388548</v>
      </c>
      <c r="J60" s="1">
        <v>0.94956471628729799</v>
      </c>
      <c r="K60" s="1" t="s">
        <v>33</v>
      </c>
      <c r="L60" s="1">
        <v>13</v>
      </c>
      <c r="M60" s="1">
        <v>1.12689461538461</v>
      </c>
      <c r="N60" s="1">
        <v>2.6514113909218699</v>
      </c>
      <c r="O60" s="1">
        <f t="shared" si="0"/>
        <v>1.5154426153846101</v>
      </c>
      <c r="P60" s="1">
        <f t="shared" si="1"/>
        <v>-1.7738726153846092</v>
      </c>
      <c r="Q60" s="1">
        <f t="shared" si="2"/>
        <v>1</v>
      </c>
    </row>
    <row r="61" spans="1:17" s="1" customFormat="1" x14ac:dyDescent="0.2">
      <c r="A61" s="1" t="s">
        <v>139</v>
      </c>
      <c r="B61" s="1">
        <v>2</v>
      </c>
      <c r="C61" s="1">
        <v>1.9073500000000001</v>
      </c>
      <c r="D61" s="1">
        <v>1.2150215821128401</v>
      </c>
      <c r="E61" s="1" t="s">
        <v>20</v>
      </c>
      <c r="F61" s="1" t="s">
        <v>140</v>
      </c>
      <c r="G61" s="1" t="s">
        <v>22</v>
      </c>
      <c r="H61" s="1">
        <v>11</v>
      </c>
      <c r="I61" s="1">
        <v>3.5028990909090898</v>
      </c>
      <c r="J61" s="1">
        <v>3.7668957679777999</v>
      </c>
      <c r="K61" s="1" t="s">
        <v>141</v>
      </c>
      <c r="L61" s="1">
        <v>8</v>
      </c>
      <c r="M61" s="1">
        <v>0.172484999999999</v>
      </c>
      <c r="N61" s="1">
        <v>1.0826691051549999</v>
      </c>
      <c r="O61" s="1">
        <f t="shared" si="0"/>
        <v>3.6753840909090889</v>
      </c>
      <c r="P61" s="1">
        <f t="shared" si="1"/>
        <v>-1.7680340909090888</v>
      </c>
      <c r="Q61" s="1">
        <f t="shared" si="2"/>
        <v>1</v>
      </c>
    </row>
    <row r="62" spans="1:17" s="1" customFormat="1" x14ac:dyDescent="0.2">
      <c r="A62" s="1" t="s">
        <v>240</v>
      </c>
      <c r="B62" s="1">
        <v>3</v>
      </c>
      <c r="C62" s="1">
        <v>1.32998999999999</v>
      </c>
      <c r="D62" s="1">
        <v>0.87071538501395496</v>
      </c>
      <c r="E62" s="1" t="s">
        <v>114</v>
      </c>
      <c r="F62" s="1" t="s">
        <v>25</v>
      </c>
      <c r="G62" s="1" t="s">
        <v>116</v>
      </c>
      <c r="H62" s="1">
        <v>11</v>
      </c>
      <c r="I62" s="1">
        <v>1.68324272727272</v>
      </c>
      <c r="J62" s="1">
        <v>1.46712339504276</v>
      </c>
      <c r="K62" s="1" t="s">
        <v>26</v>
      </c>
      <c r="L62" s="1">
        <v>12</v>
      </c>
      <c r="M62" s="1">
        <v>1.4098866666666601</v>
      </c>
      <c r="N62" s="1">
        <v>2.4071265767048402</v>
      </c>
      <c r="O62" s="1">
        <f t="shared" si="0"/>
        <v>3.09312939393938</v>
      </c>
      <c r="P62" s="1">
        <f t="shared" si="1"/>
        <v>-1.76313939393939</v>
      </c>
      <c r="Q62" s="1">
        <f t="shared" si="2"/>
        <v>1</v>
      </c>
    </row>
    <row r="63" spans="1:17" s="1" customFormat="1" x14ac:dyDescent="0.2">
      <c r="A63" s="1" t="s">
        <v>143</v>
      </c>
      <c r="B63" s="1">
        <v>1</v>
      </c>
      <c r="C63" s="1">
        <v>1.3934</v>
      </c>
      <c r="E63" s="1" t="s">
        <v>50</v>
      </c>
      <c r="F63" s="1" t="s">
        <v>61</v>
      </c>
      <c r="G63" s="1" t="s">
        <v>52</v>
      </c>
      <c r="H63" s="1">
        <v>9</v>
      </c>
      <c r="I63" s="1">
        <v>1.6130088888888801</v>
      </c>
      <c r="J63" s="1">
        <v>1.1447563417322</v>
      </c>
      <c r="K63" s="1" t="s">
        <v>63</v>
      </c>
      <c r="L63" s="1">
        <v>8</v>
      </c>
      <c r="M63" s="1">
        <v>1.5330999999999999</v>
      </c>
      <c r="N63" s="1">
        <v>3.6639506145026401</v>
      </c>
      <c r="O63" s="1">
        <f t="shared" si="0"/>
        <v>3.1461088888888797</v>
      </c>
      <c r="P63" s="1">
        <f t="shared" si="1"/>
        <v>-1.7527088888888798</v>
      </c>
      <c r="Q63" s="1">
        <f t="shared" si="2"/>
        <v>1</v>
      </c>
    </row>
    <row r="64" spans="1:17" s="1" customFormat="1" x14ac:dyDescent="0.2">
      <c r="A64" s="1" t="s">
        <v>179</v>
      </c>
      <c r="B64" s="1">
        <v>3</v>
      </c>
      <c r="C64" s="1">
        <v>0.27146666666666602</v>
      </c>
      <c r="D64" s="1">
        <v>1.71169822203954</v>
      </c>
      <c r="E64" s="1" t="s">
        <v>85</v>
      </c>
      <c r="F64" s="1" t="s">
        <v>31</v>
      </c>
      <c r="G64" s="1" t="s">
        <v>86</v>
      </c>
      <c r="H64" s="1">
        <v>11</v>
      </c>
      <c r="I64" s="1">
        <v>0.89274545454545395</v>
      </c>
      <c r="J64" s="1">
        <v>0.61421292855757503</v>
      </c>
      <c r="K64" s="1" t="s">
        <v>33</v>
      </c>
      <c r="L64" s="1">
        <v>13</v>
      </c>
      <c r="M64" s="1">
        <v>1.12689461538461</v>
      </c>
      <c r="N64" s="1">
        <v>2.6514113909218699</v>
      </c>
      <c r="O64" s="1">
        <f t="shared" si="0"/>
        <v>2.0196400699300638</v>
      </c>
      <c r="P64" s="1">
        <f t="shared" si="1"/>
        <v>-1.7481734032633978</v>
      </c>
      <c r="Q64" s="1">
        <f t="shared" si="2"/>
        <v>1</v>
      </c>
    </row>
    <row r="65" spans="1:17" s="1" customFormat="1" x14ac:dyDescent="0.2">
      <c r="A65" s="1" t="s">
        <v>145</v>
      </c>
      <c r="B65" s="1">
        <v>3</v>
      </c>
      <c r="C65" s="1">
        <v>0.70102999999999904</v>
      </c>
      <c r="D65" s="1">
        <v>1.2205907879793201</v>
      </c>
      <c r="E65" s="1" t="s">
        <v>89</v>
      </c>
      <c r="F65" s="1" t="s">
        <v>21</v>
      </c>
      <c r="G65" s="1" t="s">
        <v>90</v>
      </c>
      <c r="H65" s="1">
        <v>10</v>
      </c>
      <c r="I65" s="1">
        <v>0.71304500000000004</v>
      </c>
      <c r="J65" s="1">
        <v>1.2054066597188</v>
      </c>
      <c r="K65" s="1" t="s">
        <v>23</v>
      </c>
      <c r="L65" s="1">
        <v>12</v>
      </c>
      <c r="M65" s="1">
        <v>1.7208699999999999</v>
      </c>
      <c r="N65" s="1">
        <v>2.0255937970697002</v>
      </c>
      <c r="O65" s="1">
        <f t="shared" si="0"/>
        <v>2.4339149999999998</v>
      </c>
      <c r="P65" s="1">
        <f t="shared" si="1"/>
        <v>-1.7328850000000009</v>
      </c>
      <c r="Q65" s="1">
        <f t="shared" si="2"/>
        <v>1</v>
      </c>
    </row>
    <row r="66" spans="1:17" s="1" customFormat="1" x14ac:dyDescent="0.2">
      <c r="A66" s="1" t="s">
        <v>146</v>
      </c>
      <c r="B66" s="1">
        <v>4</v>
      </c>
      <c r="C66" s="1">
        <v>1.672755</v>
      </c>
      <c r="D66" s="1">
        <v>1.0006372829851899</v>
      </c>
      <c r="E66" s="1" t="s">
        <v>114</v>
      </c>
      <c r="F66" s="1" t="s">
        <v>21</v>
      </c>
      <c r="G66" s="1" t="s">
        <v>116</v>
      </c>
      <c r="H66" s="1">
        <v>11</v>
      </c>
      <c r="I66" s="1">
        <v>1.68324272727272</v>
      </c>
      <c r="J66" s="1">
        <v>1.46712339504276</v>
      </c>
      <c r="K66" s="1" t="s">
        <v>23</v>
      </c>
      <c r="L66" s="1">
        <v>12</v>
      </c>
      <c r="M66" s="1">
        <v>1.7208699999999999</v>
      </c>
      <c r="N66" s="1">
        <v>2.0255937970697002</v>
      </c>
      <c r="O66" s="1">
        <f t="shared" ref="O66:O129" si="3">I66+M66</f>
        <v>3.4041127272727199</v>
      </c>
      <c r="P66" s="1">
        <f t="shared" ref="P66:P129" si="4">C66-O66</f>
        <v>-1.7313577272727199</v>
      </c>
      <c r="Q66" s="1">
        <f t="shared" ref="Q66:Q129" si="5">IF(OR(E66="NT",F66="NT",E66="NTC",F66="NTC"),0,1)</f>
        <v>1</v>
      </c>
    </row>
    <row r="67" spans="1:17" s="1" customFormat="1" x14ac:dyDescent="0.2">
      <c r="A67" s="1" t="s">
        <v>147</v>
      </c>
      <c r="B67" s="1">
        <v>4</v>
      </c>
      <c r="C67" s="1">
        <v>-0.56467999999999996</v>
      </c>
      <c r="D67" s="1">
        <v>1.07199141675668</v>
      </c>
      <c r="E67" s="1" t="s">
        <v>89</v>
      </c>
      <c r="F67" s="1" t="s">
        <v>47</v>
      </c>
      <c r="G67" s="1" t="s">
        <v>90</v>
      </c>
      <c r="H67" s="1">
        <v>10</v>
      </c>
      <c r="I67" s="1">
        <v>0.71304500000000004</v>
      </c>
      <c r="J67" s="1">
        <v>1.2054066597188</v>
      </c>
      <c r="K67" s="1" t="s">
        <v>48</v>
      </c>
      <c r="L67" s="1">
        <v>13</v>
      </c>
      <c r="M67" s="1">
        <v>0.39538538461538397</v>
      </c>
      <c r="N67" s="1">
        <v>1.9995421937267499</v>
      </c>
      <c r="O67" s="1">
        <f t="shared" si="3"/>
        <v>1.108430384615384</v>
      </c>
      <c r="P67" s="1">
        <f t="shared" si="4"/>
        <v>-1.6731103846153839</v>
      </c>
      <c r="Q67" s="1">
        <f t="shared" si="5"/>
        <v>1</v>
      </c>
    </row>
    <row r="68" spans="1:17" s="1" customFormat="1" x14ac:dyDescent="0.2">
      <c r="A68" s="1" t="s">
        <v>199</v>
      </c>
      <c r="B68" s="1">
        <v>3</v>
      </c>
      <c r="C68" s="1">
        <v>0.465106666666666</v>
      </c>
      <c r="D68" s="1">
        <v>1.05368120042702</v>
      </c>
      <c r="E68" s="1" t="s">
        <v>89</v>
      </c>
      <c r="F68" s="1" t="s">
        <v>25</v>
      </c>
      <c r="G68" s="1" t="s">
        <v>90</v>
      </c>
      <c r="H68" s="1">
        <v>10</v>
      </c>
      <c r="I68" s="1">
        <v>0.71304500000000004</v>
      </c>
      <c r="J68" s="1">
        <v>1.2054066597188</v>
      </c>
      <c r="K68" s="1" t="s">
        <v>26</v>
      </c>
      <c r="L68" s="1">
        <v>12</v>
      </c>
      <c r="M68" s="1">
        <v>1.4098866666666601</v>
      </c>
      <c r="N68" s="1">
        <v>2.4071265767048402</v>
      </c>
      <c r="O68" s="1">
        <f t="shared" si="3"/>
        <v>2.12293166666666</v>
      </c>
      <c r="P68" s="1">
        <f t="shared" si="4"/>
        <v>-1.6578249999999941</v>
      </c>
      <c r="Q68" s="1">
        <f t="shared" si="5"/>
        <v>1</v>
      </c>
    </row>
    <row r="69" spans="1:17" s="1" customFormat="1" x14ac:dyDescent="0.2">
      <c r="A69" s="1" t="s">
        <v>144</v>
      </c>
      <c r="B69" s="1">
        <v>1</v>
      </c>
      <c r="C69" s="1">
        <v>-0.79959999999999998</v>
      </c>
      <c r="E69" s="1" t="s">
        <v>85</v>
      </c>
      <c r="F69" s="1" t="s">
        <v>28</v>
      </c>
      <c r="G69" s="1" t="s">
        <v>86</v>
      </c>
      <c r="H69" s="1">
        <v>11</v>
      </c>
      <c r="I69" s="1">
        <v>0.89274545454545395</v>
      </c>
      <c r="J69" s="1">
        <v>0.61421292855757503</v>
      </c>
      <c r="K69" s="1" t="s">
        <v>58</v>
      </c>
      <c r="L69" s="1">
        <v>13</v>
      </c>
      <c r="M69" s="1">
        <v>-5.0181538461538402E-2</v>
      </c>
      <c r="N69" s="1">
        <v>1.17547401340796</v>
      </c>
      <c r="O69" s="1">
        <f t="shared" si="3"/>
        <v>0.84256391608391557</v>
      </c>
      <c r="P69" s="1">
        <f t="shared" si="4"/>
        <v>-1.6421639160839154</v>
      </c>
      <c r="Q69" s="1">
        <f t="shared" si="5"/>
        <v>1</v>
      </c>
    </row>
    <row r="70" spans="1:17" s="1" customFormat="1" x14ac:dyDescent="0.2">
      <c r="A70" s="1" t="s">
        <v>211</v>
      </c>
      <c r="B70" s="1">
        <v>1</v>
      </c>
      <c r="C70" s="1">
        <v>-1.2830999999999999</v>
      </c>
      <c r="E70" s="1" t="s">
        <v>60</v>
      </c>
      <c r="F70" s="1" t="s">
        <v>31</v>
      </c>
      <c r="G70" s="1" t="s">
        <v>62</v>
      </c>
      <c r="H70" s="1">
        <v>10</v>
      </c>
      <c r="I70" s="1">
        <v>-0.77134100000000005</v>
      </c>
      <c r="J70" s="1">
        <v>0.73984927907198295</v>
      </c>
      <c r="K70" s="1" t="s">
        <v>33</v>
      </c>
      <c r="L70" s="1">
        <v>13</v>
      </c>
      <c r="M70" s="1">
        <v>1.12689461538461</v>
      </c>
      <c r="N70" s="1">
        <v>2.6514113909218699</v>
      </c>
      <c r="O70" s="1">
        <f t="shared" si="3"/>
        <v>0.35555361538460994</v>
      </c>
      <c r="P70" s="1">
        <f t="shared" si="4"/>
        <v>-1.6386536153846099</v>
      </c>
      <c r="Q70" s="1">
        <f t="shared" si="5"/>
        <v>1</v>
      </c>
    </row>
    <row r="71" spans="1:17" s="1" customFormat="1" x14ac:dyDescent="0.2">
      <c r="A71" s="1" t="s">
        <v>151</v>
      </c>
      <c r="B71" s="1">
        <v>5</v>
      </c>
      <c r="C71" s="1">
        <v>5.2484000000000003E-2</v>
      </c>
      <c r="D71" s="1">
        <v>1.36643014447501</v>
      </c>
      <c r="E71" s="1" t="s">
        <v>73</v>
      </c>
      <c r="F71" s="1" t="s">
        <v>21</v>
      </c>
      <c r="G71" s="1" t="s">
        <v>74</v>
      </c>
      <c r="H71" s="1">
        <v>7</v>
      </c>
      <c r="I71" s="1">
        <v>-3.2529999999999899E-2</v>
      </c>
      <c r="J71" s="1">
        <v>1.4564495190817</v>
      </c>
      <c r="K71" s="1" t="s">
        <v>23</v>
      </c>
      <c r="L71" s="1">
        <v>12</v>
      </c>
      <c r="M71" s="1">
        <v>1.7208699999999999</v>
      </c>
      <c r="N71" s="1">
        <v>2.0255937970697002</v>
      </c>
      <c r="O71" s="1">
        <f t="shared" si="3"/>
        <v>1.68834</v>
      </c>
      <c r="P71" s="1">
        <f t="shared" si="4"/>
        <v>-1.635856</v>
      </c>
      <c r="Q71" s="1">
        <f t="shared" si="5"/>
        <v>1</v>
      </c>
    </row>
    <row r="72" spans="1:17" s="1" customFormat="1" x14ac:dyDescent="0.2">
      <c r="A72" s="1" t="s">
        <v>152</v>
      </c>
      <c r="B72" s="1">
        <v>1</v>
      </c>
      <c r="C72" s="1">
        <v>0.82896999999999998</v>
      </c>
      <c r="E72" s="1" t="s">
        <v>85</v>
      </c>
      <c r="F72" s="1" t="s">
        <v>61</v>
      </c>
      <c r="G72" s="1" t="s">
        <v>86</v>
      </c>
      <c r="H72" s="1">
        <v>11</v>
      </c>
      <c r="I72" s="1">
        <v>0.89274545454545395</v>
      </c>
      <c r="J72" s="1">
        <v>0.61421292855757503</v>
      </c>
      <c r="K72" s="1" t="s">
        <v>63</v>
      </c>
      <c r="L72" s="1">
        <v>8</v>
      </c>
      <c r="M72" s="1">
        <v>1.5330999999999999</v>
      </c>
      <c r="N72" s="1">
        <v>3.6639506145026401</v>
      </c>
      <c r="O72" s="1">
        <f t="shared" si="3"/>
        <v>2.425845454545454</v>
      </c>
      <c r="P72" s="1">
        <f t="shared" si="4"/>
        <v>-1.596875454545454</v>
      </c>
      <c r="Q72" s="1">
        <f t="shared" si="5"/>
        <v>1</v>
      </c>
    </row>
    <row r="73" spans="1:17" s="1" customFormat="1" x14ac:dyDescent="0.2">
      <c r="A73" s="1" t="s">
        <v>153</v>
      </c>
      <c r="B73" s="1">
        <v>3</v>
      </c>
      <c r="C73" s="1">
        <v>-1.3461766666666599</v>
      </c>
      <c r="D73" s="1">
        <v>0.61825102396464604</v>
      </c>
      <c r="E73" s="1" t="s">
        <v>73</v>
      </c>
      <c r="F73" s="1" t="s">
        <v>51</v>
      </c>
      <c r="G73" s="1" t="s">
        <v>74</v>
      </c>
      <c r="H73" s="1">
        <v>7</v>
      </c>
      <c r="I73" s="1">
        <v>-3.2529999999999899E-2</v>
      </c>
      <c r="J73" s="1">
        <v>1.4564495190817</v>
      </c>
      <c r="K73" s="1" t="s">
        <v>29</v>
      </c>
      <c r="L73" s="1">
        <v>11</v>
      </c>
      <c r="M73" s="1">
        <v>0.28300999999999998</v>
      </c>
      <c r="N73" s="1">
        <v>1.4668923681374799</v>
      </c>
      <c r="O73" s="1">
        <f t="shared" si="3"/>
        <v>0.25048000000000009</v>
      </c>
      <c r="P73" s="1">
        <f t="shared" si="4"/>
        <v>-1.59665666666666</v>
      </c>
      <c r="Q73" s="1">
        <f t="shared" si="5"/>
        <v>1</v>
      </c>
    </row>
    <row r="74" spans="1:17" s="1" customFormat="1" x14ac:dyDescent="0.2">
      <c r="A74" s="1" t="s">
        <v>154</v>
      </c>
      <c r="B74" s="1">
        <v>1</v>
      </c>
      <c r="C74" s="1">
        <v>-1.2719</v>
      </c>
      <c r="E74" s="1" t="s">
        <v>99</v>
      </c>
      <c r="F74" s="1" t="s">
        <v>47</v>
      </c>
      <c r="G74" s="1" t="s">
        <v>100</v>
      </c>
      <c r="H74" s="1">
        <v>9</v>
      </c>
      <c r="I74" s="1">
        <v>-8.8165555555555497E-2</v>
      </c>
      <c r="J74" s="1">
        <v>1.19505751278035</v>
      </c>
      <c r="K74" s="1" t="s">
        <v>48</v>
      </c>
      <c r="L74" s="1">
        <v>13</v>
      </c>
      <c r="M74" s="1">
        <v>0.39538538461538397</v>
      </c>
      <c r="N74" s="1">
        <v>1.9995421937267499</v>
      </c>
      <c r="O74" s="1">
        <f t="shared" si="3"/>
        <v>0.30721982905982848</v>
      </c>
      <c r="P74" s="1">
        <f t="shared" si="4"/>
        <v>-1.5791198290598285</v>
      </c>
      <c r="Q74" s="1">
        <f t="shared" si="5"/>
        <v>1</v>
      </c>
    </row>
    <row r="75" spans="1:17" s="1" customFormat="1" x14ac:dyDescent="0.2">
      <c r="A75" s="1" t="s">
        <v>155</v>
      </c>
      <c r="B75" s="1">
        <v>3</v>
      </c>
      <c r="C75" s="1">
        <v>-0.39639999999999997</v>
      </c>
      <c r="D75" s="1">
        <v>1.4212434731600301</v>
      </c>
      <c r="E75" s="1" t="s">
        <v>85</v>
      </c>
      <c r="F75" s="1" t="s">
        <v>51</v>
      </c>
      <c r="G75" s="1" t="s">
        <v>86</v>
      </c>
      <c r="H75" s="1">
        <v>11</v>
      </c>
      <c r="I75" s="1">
        <v>0.89274545454545395</v>
      </c>
      <c r="J75" s="1">
        <v>0.61421292855757503</v>
      </c>
      <c r="K75" s="1" t="s">
        <v>29</v>
      </c>
      <c r="L75" s="1">
        <v>11</v>
      </c>
      <c r="M75" s="1">
        <v>0.28300999999999998</v>
      </c>
      <c r="N75" s="1">
        <v>1.4668923681374799</v>
      </c>
      <c r="O75" s="1">
        <f t="shared" si="3"/>
        <v>1.1757554545454538</v>
      </c>
      <c r="P75" s="1">
        <f t="shared" si="4"/>
        <v>-1.5721554545454537</v>
      </c>
      <c r="Q75" s="1">
        <f t="shared" si="5"/>
        <v>1</v>
      </c>
    </row>
    <row r="76" spans="1:17" s="1" customFormat="1" x14ac:dyDescent="0.2">
      <c r="A76" s="1" t="s">
        <v>156</v>
      </c>
      <c r="B76" s="1">
        <v>3</v>
      </c>
      <c r="C76" s="1">
        <v>-1.17526666666666</v>
      </c>
      <c r="D76" s="1">
        <v>0.15223880363866901</v>
      </c>
      <c r="E76" s="1" t="s">
        <v>55</v>
      </c>
      <c r="F76" s="1" t="s">
        <v>35</v>
      </c>
      <c r="G76" s="1" t="s">
        <v>56</v>
      </c>
      <c r="H76" s="1">
        <v>10</v>
      </c>
      <c r="I76" s="1">
        <v>0.388548</v>
      </c>
      <c r="J76" s="1">
        <v>0.94956471628729799</v>
      </c>
      <c r="K76" s="1" t="s">
        <v>36</v>
      </c>
      <c r="L76" s="1">
        <v>7</v>
      </c>
      <c r="M76" s="1">
        <v>-6.4271428571428804E-3</v>
      </c>
      <c r="N76" s="1">
        <v>1.10921236748896</v>
      </c>
      <c r="O76" s="1">
        <f t="shared" si="3"/>
        <v>0.38212085714285715</v>
      </c>
      <c r="P76" s="1">
        <f t="shared" si="4"/>
        <v>-1.5573875238095172</v>
      </c>
      <c r="Q76" s="1">
        <f t="shared" si="5"/>
        <v>1</v>
      </c>
    </row>
    <row r="77" spans="1:17" s="1" customFormat="1" x14ac:dyDescent="0.2">
      <c r="A77" s="1" t="s">
        <v>157</v>
      </c>
      <c r="B77" s="1">
        <v>2</v>
      </c>
      <c r="C77" s="1">
        <v>0.39133999999999902</v>
      </c>
      <c r="D77" s="1">
        <v>1.9051719426865299</v>
      </c>
      <c r="E77" s="1" t="s">
        <v>55</v>
      </c>
      <c r="F77" s="1" t="s">
        <v>61</v>
      </c>
      <c r="G77" s="1" t="s">
        <v>56</v>
      </c>
      <c r="H77" s="1">
        <v>10</v>
      </c>
      <c r="I77" s="1">
        <v>0.388548</v>
      </c>
      <c r="J77" s="1">
        <v>0.94956471628729799</v>
      </c>
      <c r="K77" s="1" t="s">
        <v>63</v>
      </c>
      <c r="L77" s="1">
        <v>8</v>
      </c>
      <c r="M77" s="1">
        <v>1.5330999999999999</v>
      </c>
      <c r="N77" s="1">
        <v>3.6639506145026401</v>
      </c>
      <c r="O77" s="1">
        <f t="shared" si="3"/>
        <v>1.9216479999999998</v>
      </c>
      <c r="P77" s="1">
        <f t="shared" si="4"/>
        <v>-1.5303080000000007</v>
      </c>
      <c r="Q77" s="1">
        <f t="shared" si="5"/>
        <v>1</v>
      </c>
    </row>
    <row r="78" spans="1:17" s="1" customFormat="1" x14ac:dyDescent="0.2">
      <c r="A78" s="1" t="s">
        <v>158</v>
      </c>
      <c r="B78" s="1">
        <v>5</v>
      </c>
      <c r="C78" s="1">
        <v>2.0760619999999999</v>
      </c>
      <c r="D78" s="1">
        <v>2.77406698345948</v>
      </c>
      <c r="E78" s="1" t="s">
        <v>127</v>
      </c>
      <c r="F78" s="1" t="s">
        <v>21</v>
      </c>
      <c r="G78" s="1" t="s">
        <v>128</v>
      </c>
      <c r="H78" s="1">
        <v>10</v>
      </c>
      <c r="I78" s="1">
        <v>1.880876</v>
      </c>
      <c r="J78" s="1">
        <v>1.92300027836249</v>
      </c>
      <c r="K78" s="1" t="s">
        <v>23</v>
      </c>
      <c r="L78" s="1">
        <v>12</v>
      </c>
      <c r="M78" s="1">
        <v>1.7208699999999999</v>
      </c>
      <c r="N78" s="1">
        <v>2.0255937970697002</v>
      </c>
      <c r="O78" s="1">
        <f t="shared" si="3"/>
        <v>3.6017459999999999</v>
      </c>
      <c r="P78" s="1">
        <f t="shared" si="4"/>
        <v>-1.525684</v>
      </c>
      <c r="Q78" s="1">
        <f t="shared" si="5"/>
        <v>1</v>
      </c>
    </row>
    <row r="79" spans="1:17" s="1" customFormat="1" x14ac:dyDescent="0.2">
      <c r="A79" s="1" t="s">
        <v>159</v>
      </c>
      <c r="B79" s="1">
        <v>1</v>
      </c>
      <c r="C79" s="1">
        <v>1.6751</v>
      </c>
      <c r="E79" s="1" t="s">
        <v>127</v>
      </c>
      <c r="F79" s="1" t="s">
        <v>44</v>
      </c>
      <c r="G79" s="1" t="s">
        <v>128</v>
      </c>
      <c r="H79" s="1">
        <v>10</v>
      </c>
      <c r="I79" s="1">
        <v>1.880876</v>
      </c>
      <c r="J79" s="1">
        <v>1.92300027836249</v>
      </c>
      <c r="K79" s="1" t="s">
        <v>45</v>
      </c>
      <c r="L79" s="1">
        <v>9</v>
      </c>
      <c r="M79" s="1">
        <v>1.2713288888888801</v>
      </c>
      <c r="N79" s="1">
        <v>2.2624284591641999</v>
      </c>
      <c r="O79" s="1">
        <f t="shared" si="3"/>
        <v>3.1522048888888801</v>
      </c>
      <c r="P79" s="1">
        <f t="shared" si="4"/>
        <v>-1.47710488888888</v>
      </c>
      <c r="Q79" s="1">
        <f t="shared" si="5"/>
        <v>1</v>
      </c>
    </row>
    <row r="80" spans="1:17" s="1" customFormat="1" x14ac:dyDescent="0.2">
      <c r="A80" s="1" t="s">
        <v>160</v>
      </c>
      <c r="B80" s="1">
        <v>4</v>
      </c>
      <c r="C80" s="1">
        <v>-0.50950249999999997</v>
      </c>
      <c r="D80" s="1">
        <v>1.06044512384737</v>
      </c>
      <c r="E80" s="1" t="s">
        <v>30</v>
      </c>
      <c r="F80" s="1" t="s">
        <v>41</v>
      </c>
      <c r="G80" s="1" t="s">
        <v>32</v>
      </c>
      <c r="H80" s="1">
        <v>4</v>
      </c>
      <c r="I80" s="1">
        <v>1.3223024999999999</v>
      </c>
      <c r="J80" s="1">
        <v>0.83827518044991201</v>
      </c>
      <c r="K80" s="1" t="s">
        <v>42</v>
      </c>
      <c r="L80" s="1">
        <v>8</v>
      </c>
      <c r="M80" s="1">
        <v>-0.36432874999999998</v>
      </c>
      <c r="N80" s="1">
        <v>1.09705879965397</v>
      </c>
      <c r="O80" s="1">
        <f t="shared" si="3"/>
        <v>0.95797374999999996</v>
      </c>
      <c r="P80" s="1">
        <f t="shared" si="4"/>
        <v>-1.4674762499999998</v>
      </c>
      <c r="Q80" s="1">
        <f t="shared" si="5"/>
        <v>1</v>
      </c>
    </row>
    <row r="81" spans="1:17" s="1" customFormat="1" x14ac:dyDescent="0.2">
      <c r="A81" s="1" t="s">
        <v>120</v>
      </c>
      <c r="B81" s="1">
        <v>2</v>
      </c>
      <c r="C81" s="1">
        <v>8.7634999999999894E-2</v>
      </c>
      <c r="D81" s="1">
        <v>0.86752809663433905</v>
      </c>
      <c r="E81" s="1" t="s">
        <v>93</v>
      </c>
      <c r="F81" s="1" t="s">
        <v>31</v>
      </c>
      <c r="G81" s="1" t="s">
        <v>94</v>
      </c>
      <c r="H81" s="1">
        <v>6</v>
      </c>
      <c r="I81" s="1">
        <v>0.42126999999999998</v>
      </c>
      <c r="J81" s="1">
        <v>0.93603800183539498</v>
      </c>
      <c r="K81" s="1" t="s">
        <v>33</v>
      </c>
      <c r="L81" s="1">
        <v>13</v>
      </c>
      <c r="M81" s="1">
        <v>1.12689461538461</v>
      </c>
      <c r="N81" s="1">
        <v>2.6514113909218699</v>
      </c>
      <c r="O81" s="1">
        <f t="shared" si="3"/>
        <v>1.54816461538461</v>
      </c>
      <c r="P81" s="1">
        <f t="shared" si="4"/>
        <v>-1.4605296153846101</v>
      </c>
      <c r="Q81" s="1">
        <f t="shared" si="5"/>
        <v>1</v>
      </c>
    </row>
    <row r="82" spans="1:17" s="1" customFormat="1" x14ac:dyDescent="0.2">
      <c r="A82" s="1" t="s">
        <v>162</v>
      </c>
      <c r="B82" s="1">
        <v>3</v>
      </c>
      <c r="C82" s="1">
        <v>-1.03674333333333</v>
      </c>
      <c r="D82" s="1">
        <v>0.343897189045408</v>
      </c>
      <c r="E82" s="1" t="s">
        <v>93</v>
      </c>
      <c r="F82" s="1" t="s">
        <v>35</v>
      </c>
      <c r="G82" s="1" t="s">
        <v>94</v>
      </c>
      <c r="H82" s="1">
        <v>6</v>
      </c>
      <c r="I82" s="1">
        <v>0.42126999999999998</v>
      </c>
      <c r="J82" s="1">
        <v>0.93603800183539498</v>
      </c>
      <c r="K82" s="1" t="s">
        <v>36</v>
      </c>
      <c r="L82" s="1">
        <v>7</v>
      </c>
      <c r="M82" s="1">
        <v>-6.4271428571428804E-3</v>
      </c>
      <c r="N82" s="1">
        <v>1.10921236748896</v>
      </c>
      <c r="O82" s="1">
        <f t="shared" si="3"/>
        <v>0.41484285714285712</v>
      </c>
      <c r="P82" s="1">
        <f t="shared" si="4"/>
        <v>-1.4515861904761871</v>
      </c>
      <c r="Q82" s="1">
        <f t="shared" si="5"/>
        <v>1</v>
      </c>
    </row>
    <row r="83" spans="1:17" s="1" customFormat="1" x14ac:dyDescent="0.2">
      <c r="A83" s="1" t="s">
        <v>176</v>
      </c>
      <c r="B83" s="1">
        <v>4</v>
      </c>
      <c r="C83" s="1">
        <v>-1.0122150000000001</v>
      </c>
      <c r="D83" s="1">
        <v>0.233039380577618</v>
      </c>
      <c r="E83" s="1" t="s">
        <v>76</v>
      </c>
      <c r="F83" s="1" t="s">
        <v>31</v>
      </c>
      <c r="G83" s="1" t="s">
        <v>77</v>
      </c>
      <c r="H83" s="1">
        <v>7</v>
      </c>
      <c r="I83" s="1">
        <v>-0.69767571428571395</v>
      </c>
      <c r="J83" s="1">
        <v>1.37870291931531</v>
      </c>
      <c r="K83" s="1" t="s">
        <v>33</v>
      </c>
      <c r="L83" s="1">
        <v>13</v>
      </c>
      <c r="M83" s="1">
        <v>1.12689461538461</v>
      </c>
      <c r="N83" s="1">
        <v>2.6514113909218699</v>
      </c>
      <c r="O83" s="1">
        <f t="shared" si="3"/>
        <v>0.42921890109889604</v>
      </c>
      <c r="P83" s="1">
        <f t="shared" si="4"/>
        <v>-1.4414339010988961</v>
      </c>
      <c r="Q83" s="1">
        <f t="shared" si="5"/>
        <v>1</v>
      </c>
    </row>
    <row r="84" spans="1:17" s="1" customFormat="1" x14ac:dyDescent="0.2">
      <c r="A84" s="1" t="s">
        <v>348</v>
      </c>
      <c r="B84" s="1">
        <v>3</v>
      </c>
      <c r="C84" s="1">
        <v>1.32277</v>
      </c>
      <c r="D84" s="1">
        <v>0.597946288306901</v>
      </c>
      <c r="E84" s="1" t="s">
        <v>79</v>
      </c>
      <c r="F84" s="1" t="s">
        <v>25</v>
      </c>
      <c r="G84" s="1" t="s">
        <v>80</v>
      </c>
      <c r="H84" s="1">
        <v>9</v>
      </c>
      <c r="I84" s="1">
        <v>1.3406211111111099</v>
      </c>
      <c r="J84" s="1">
        <v>0.51772118839304904</v>
      </c>
      <c r="K84" s="1" t="s">
        <v>26</v>
      </c>
      <c r="L84" s="1">
        <v>12</v>
      </c>
      <c r="M84" s="1">
        <v>1.4098866666666601</v>
      </c>
      <c r="N84" s="1">
        <v>2.4071265767048402</v>
      </c>
      <c r="O84" s="1">
        <f t="shared" si="3"/>
        <v>2.75050777777777</v>
      </c>
      <c r="P84" s="1">
        <f t="shared" si="4"/>
        <v>-1.42773777777777</v>
      </c>
      <c r="Q84" s="1">
        <f t="shared" si="5"/>
        <v>1</v>
      </c>
    </row>
    <row r="85" spans="1:17" s="1" customFormat="1" x14ac:dyDescent="0.2">
      <c r="A85" s="1" t="s">
        <v>165</v>
      </c>
      <c r="B85" s="1">
        <v>3</v>
      </c>
      <c r="C85" s="1">
        <v>-0.42330333333333298</v>
      </c>
      <c r="D85" s="1">
        <v>1.0790602648755601</v>
      </c>
      <c r="E85" s="1" t="s">
        <v>89</v>
      </c>
      <c r="F85" s="1" t="s">
        <v>51</v>
      </c>
      <c r="G85" s="1" t="s">
        <v>90</v>
      </c>
      <c r="H85" s="1">
        <v>10</v>
      </c>
      <c r="I85" s="1">
        <v>0.71304500000000004</v>
      </c>
      <c r="J85" s="1">
        <v>1.2054066597188</v>
      </c>
      <c r="K85" s="1" t="s">
        <v>29</v>
      </c>
      <c r="L85" s="1">
        <v>11</v>
      </c>
      <c r="M85" s="1">
        <v>0.28300999999999998</v>
      </c>
      <c r="N85" s="1">
        <v>1.4668923681374799</v>
      </c>
      <c r="O85" s="1">
        <f t="shared" si="3"/>
        <v>0.99605500000000002</v>
      </c>
      <c r="P85" s="1">
        <f t="shared" si="4"/>
        <v>-1.4193583333333331</v>
      </c>
      <c r="Q85" s="1">
        <f t="shared" si="5"/>
        <v>1</v>
      </c>
    </row>
    <row r="86" spans="1:17" s="1" customFormat="1" x14ac:dyDescent="0.2">
      <c r="A86" s="1" t="s">
        <v>166</v>
      </c>
      <c r="B86" s="1">
        <v>2</v>
      </c>
      <c r="C86" s="1">
        <v>5.0950000000000002E-2</v>
      </c>
      <c r="D86" s="1">
        <v>1.94546288707854</v>
      </c>
      <c r="E86" s="1" t="s">
        <v>30</v>
      </c>
      <c r="F86" s="1" t="s">
        <v>115</v>
      </c>
      <c r="G86" s="1" t="s">
        <v>32</v>
      </c>
      <c r="H86" s="1">
        <v>4</v>
      </c>
      <c r="I86" s="1">
        <v>1.3223024999999999</v>
      </c>
      <c r="J86" s="1">
        <v>0.83827518044991201</v>
      </c>
      <c r="K86" s="1" t="s">
        <v>117</v>
      </c>
      <c r="L86" s="1">
        <v>9</v>
      </c>
      <c r="M86" s="1">
        <v>0.137493333333333</v>
      </c>
      <c r="N86" s="1">
        <v>1.4100316225354601</v>
      </c>
      <c r="O86" s="1">
        <f t="shared" si="3"/>
        <v>1.459795833333333</v>
      </c>
      <c r="P86" s="1">
        <f t="shared" si="4"/>
        <v>-1.4088458333333329</v>
      </c>
      <c r="Q86" s="1">
        <f t="shared" si="5"/>
        <v>1</v>
      </c>
    </row>
    <row r="87" spans="1:17" s="1" customFormat="1" x14ac:dyDescent="0.2">
      <c r="A87" s="1" t="s">
        <v>167</v>
      </c>
      <c r="B87" s="1">
        <v>2</v>
      </c>
      <c r="C87" s="1">
        <v>-9.3450000000000005E-2</v>
      </c>
      <c r="D87" s="1">
        <v>2.48512678248012</v>
      </c>
      <c r="E87" s="1" t="s">
        <v>127</v>
      </c>
      <c r="F87" s="1" t="s">
        <v>111</v>
      </c>
      <c r="G87" s="1" t="s">
        <v>128</v>
      </c>
      <c r="H87" s="1">
        <v>10</v>
      </c>
      <c r="I87" s="1">
        <v>1.880876</v>
      </c>
      <c r="J87" s="1">
        <v>1.92300027836249</v>
      </c>
      <c r="K87" s="1" t="s">
        <v>112</v>
      </c>
      <c r="L87" s="1">
        <v>8</v>
      </c>
      <c r="M87" s="1">
        <v>-0.57354125</v>
      </c>
      <c r="N87" s="1">
        <v>1.08103701105449</v>
      </c>
      <c r="O87" s="1">
        <f t="shared" si="3"/>
        <v>1.3073347499999999</v>
      </c>
      <c r="P87" s="1">
        <f t="shared" si="4"/>
        <v>-1.4007847499999999</v>
      </c>
      <c r="Q87" s="1">
        <f t="shared" si="5"/>
        <v>1</v>
      </c>
    </row>
    <row r="88" spans="1:17" s="1" customFormat="1" x14ac:dyDescent="0.2">
      <c r="A88" s="1" t="s">
        <v>168</v>
      </c>
      <c r="B88" s="1">
        <v>3</v>
      </c>
      <c r="C88" s="1">
        <v>-0.54035666666666604</v>
      </c>
      <c r="D88" s="1">
        <v>1.03993719600432</v>
      </c>
      <c r="E88" s="1" t="s">
        <v>89</v>
      </c>
      <c r="F88" s="1" t="s">
        <v>115</v>
      </c>
      <c r="G88" s="1" t="s">
        <v>90</v>
      </c>
      <c r="H88" s="1">
        <v>10</v>
      </c>
      <c r="I88" s="1">
        <v>0.71304500000000004</v>
      </c>
      <c r="J88" s="1">
        <v>1.2054066597188</v>
      </c>
      <c r="K88" s="1" t="s">
        <v>117</v>
      </c>
      <c r="L88" s="1">
        <v>9</v>
      </c>
      <c r="M88" s="1">
        <v>0.137493333333333</v>
      </c>
      <c r="N88" s="1">
        <v>1.4100316225354601</v>
      </c>
      <c r="O88" s="1">
        <f t="shared" si="3"/>
        <v>0.85053833333333306</v>
      </c>
      <c r="P88" s="1">
        <f t="shared" si="4"/>
        <v>-1.3908949999999991</v>
      </c>
      <c r="Q88" s="1">
        <f t="shared" si="5"/>
        <v>1</v>
      </c>
    </row>
    <row r="89" spans="1:17" s="1" customFormat="1" x14ac:dyDescent="0.2">
      <c r="A89" s="1" t="s">
        <v>169</v>
      </c>
      <c r="B89" s="1">
        <v>1</v>
      </c>
      <c r="C89" s="1">
        <v>-0.96733000000000002</v>
      </c>
      <c r="E89" s="1" t="s">
        <v>30</v>
      </c>
      <c r="F89" s="1" t="s">
        <v>170</v>
      </c>
      <c r="G89" s="1" t="s">
        <v>32</v>
      </c>
      <c r="H89" s="1">
        <v>4</v>
      </c>
      <c r="I89" s="1">
        <v>1.3223024999999999</v>
      </c>
      <c r="J89" s="1">
        <v>0.83827518044991201</v>
      </c>
      <c r="K89" s="1" t="s">
        <v>171</v>
      </c>
      <c r="L89" s="1">
        <v>12</v>
      </c>
      <c r="M89" s="1">
        <v>-0.91476500000000005</v>
      </c>
      <c r="N89" s="1">
        <v>1.14711629868117</v>
      </c>
      <c r="O89" s="1">
        <f t="shared" si="3"/>
        <v>0.40753749999999989</v>
      </c>
      <c r="P89" s="1">
        <f t="shared" si="4"/>
        <v>-1.3748674999999999</v>
      </c>
      <c r="Q89" s="1">
        <f t="shared" si="5"/>
        <v>1</v>
      </c>
    </row>
    <row r="90" spans="1:17" s="1" customFormat="1" x14ac:dyDescent="0.2">
      <c r="A90" s="1" t="s">
        <v>172</v>
      </c>
      <c r="B90" s="1">
        <v>2</v>
      </c>
      <c r="C90" s="1">
        <v>2.2710499999999998</v>
      </c>
      <c r="D90" s="1">
        <v>1.74337176901543</v>
      </c>
      <c r="E90" s="1" t="s">
        <v>20</v>
      </c>
      <c r="F90" s="1" t="s">
        <v>115</v>
      </c>
      <c r="G90" s="1" t="s">
        <v>22</v>
      </c>
      <c r="H90" s="1">
        <v>11</v>
      </c>
      <c r="I90" s="1">
        <v>3.5028990909090898</v>
      </c>
      <c r="J90" s="1">
        <v>3.7668957679777999</v>
      </c>
      <c r="K90" s="1" t="s">
        <v>117</v>
      </c>
      <c r="L90" s="1">
        <v>9</v>
      </c>
      <c r="M90" s="1">
        <v>0.137493333333333</v>
      </c>
      <c r="N90" s="1">
        <v>1.4100316225354601</v>
      </c>
      <c r="O90" s="1">
        <f t="shared" si="3"/>
        <v>3.6403924242424228</v>
      </c>
      <c r="P90" s="1">
        <f t="shared" si="4"/>
        <v>-1.369342424242423</v>
      </c>
      <c r="Q90" s="1">
        <f t="shared" si="5"/>
        <v>1</v>
      </c>
    </row>
    <row r="91" spans="1:17" s="1" customFormat="1" x14ac:dyDescent="0.2">
      <c r="A91" s="1" t="s">
        <v>173</v>
      </c>
      <c r="B91" s="1">
        <v>4</v>
      </c>
      <c r="C91" s="1">
        <v>-0.47577000000000003</v>
      </c>
      <c r="D91" s="1">
        <v>0.917578674374392</v>
      </c>
      <c r="E91" s="1" t="s">
        <v>89</v>
      </c>
      <c r="F91" s="1" t="s">
        <v>140</v>
      </c>
      <c r="G91" s="1" t="s">
        <v>90</v>
      </c>
      <c r="H91" s="1">
        <v>10</v>
      </c>
      <c r="I91" s="1">
        <v>0.71304500000000004</v>
      </c>
      <c r="J91" s="1">
        <v>1.2054066597188</v>
      </c>
      <c r="K91" s="1" t="s">
        <v>141</v>
      </c>
      <c r="L91" s="1">
        <v>8</v>
      </c>
      <c r="M91" s="1">
        <v>0.172484999999999</v>
      </c>
      <c r="N91" s="1">
        <v>1.0826691051549999</v>
      </c>
      <c r="O91" s="1">
        <f t="shared" si="3"/>
        <v>0.88552999999999904</v>
      </c>
      <c r="P91" s="1">
        <f t="shared" si="4"/>
        <v>-1.3612999999999991</v>
      </c>
      <c r="Q91" s="1">
        <f t="shared" si="5"/>
        <v>1</v>
      </c>
    </row>
    <row r="92" spans="1:17" s="1" customFormat="1" x14ac:dyDescent="0.2">
      <c r="A92" s="1" t="s">
        <v>174</v>
      </c>
      <c r="B92" s="1">
        <v>3</v>
      </c>
      <c r="C92" s="1">
        <v>-0.37466666666666598</v>
      </c>
      <c r="D92" s="1">
        <v>1.19960077247946</v>
      </c>
      <c r="E92" s="1" t="s">
        <v>79</v>
      </c>
      <c r="F92" s="1" t="s">
        <v>41</v>
      </c>
      <c r="G92" s="1" t="s">
        <v>80</v>
      </c>
      <c r="H92" s="1">
        <v>9</v>
      </c>
      <c r="I92" s="1">
        <v>1.3406211111111099</v>
      </c>
      <c r="J92" s="1">
        <v>0.51772118839304904</v>
      </c>
      <c r="K92" s="1" t="s">
        <v>42</v>
      </c>
      <c r="L92" s="1">
        <v>8</v>
      </c>
      <c r="M92" s="1">
        <v>-0.36432874999999998</v>
      </c>
      <c r="N92" s="1">
        <v>1.09705879965397</v>
      </c>
      <c r="O92" s="1">
        <f t="shared" si="3"/>
        <v>0.97629236111110995</v>
      </c>
      <c r="P92" s="1">
        <f t="shared" si="4"/>
        <v>-1.3509590277777759</v>
      </c>
      <c r="Q92" s="1">
        <f t="shared" si="5"/>
        <v>1</v>
      </c>
    </row>
    <row r="93" spans="1:17" s="1" customFormat="1" x14ac:dyDescent="0.2">
      <c r="A93" s="1" t="s">
        <v>161</v>
      </c>
      <c r="B93" s="1">
        <v>2</v>
      </c>
      <c r="C93" s="1">
        <v>-0.97246499999999902</v>
      </c>
      <c r="D93" s="1">
        <v>0.10498414380276599</v>
      </c>
      <c r="E93" s="1" t="s">
        <v>93</v>
      </c>
      <c r="F93" s="1" t="s">
        <v>28</v>
      </c>
      <c r="G93" s="1" t="s">
        <v>94</v>
      </c>
      <c r="H93" s="1">
        <v>6</v>
      </c>
      <c r="I93" s="1">
        <v>0.42126999999999998</v>
      </c>
      <c r="J93" s="1">
        <v>0.93603800183539498</v>
      </c>
      <c r="K93" s="1" t="s">
        <v>58</v>
      </c>
      <c r="L93" s="1">
        <v>13</v>
      </c>
      <c r="M93" s="1">
        <v>-5.0181538461538402E-2</v>
      </c>
      <c r="N93" s="1">
        <v>1.17547401340796</v>
      </c>
      <c r="O93" s="1">
        <f t="shared" si="3"/>
        <v>0.37108846153846159</v>
      </c>
      <c r="P93" s="1">
        <f t="shared" si="4"/>
        <v>-1.3435534615384606</v>
      </c>
      <c r="Q93" s="1">
        <f t="shared" si="5"/>
        <v>1</v>
      </c>
    </row>
    <row r="94" spans="1:17" s="1" customFormat="1" x14ac:dyDescent="0.2">
      <c r="A94" s="1" t="s">
        <v>208</v>
      </c>
      <c r="B94" s="1">
        <v>4</v>
      </c>
      <c r="C94" s="1">
        <v>-0.60781249999999998</v>
      </c>
      <c r="D94" s="1">
        <v>0.82751252491528204</v>
      </c>
      <c r="E94" s="1" t="s">
        <v>76</v>
      </c>
      <c r="F94" s="1" t="s">
        <v>25</v>
      </c>
      <c r="G94" s="1" t="s">
        <v>77</v>
      </c>
      <c r="H94" s="1">
        <v>7</v>
      </c>
      <c r="I94" s="1">
        <v>-0.69767571428571395</v>
      </c>
      <c r="J94" s="1">
        <v>1.37870291931531</v>
      </c>
      <c r="K94" s="1" t="s">
        <v>26</v>
      </c>
      <c r="L94" s="1">
        <v>12</v>
      </c>
      <c r="M94" s="1">
        <v>1.4098866666666601</v>
      </c>
      <c r="N94" s="1">
        <v>2.4071265767048402</v>
      </c>
      <c r="O94" s="1">
        <f t="shared" si="3"/>
        <v>0.71221095238094612</v>
      </c>
      <c r="P94" s="1">
        <f t="shared" si="4"/>
        <v>-1.320023452380946</v>
      </c>
      <c r="Q94" s="1">
        <f t="shared" si="5"/>
        <v>1</v>
      </c>
    </row>
    <row r="95" spans="1:17" s="1" customFormat="1" x14ac:dyDescent="0.2">
      <c r="A95" s="1" t="s">
        <v>177</v>
      </c>
      <c r="B95" s="1">
        <v>4</v>
      </c>
      <c r="C95" s="1">
        <v>0.79035250000000001</v>
      </c>
      <c r="D95" s="1">
        <v>0.25371552736283198</v>
      </c>
      <c r="E95" s="1" t="s">
        <v>55</v>
      </c>
      <c r="F95" s="1" t="s">
        <v>21</v>
      </c>
      <c r="G95" s="1" t="s">
        <v>56</v>
      </c>
      <c r="H95" s="1">
        <v>10</v>
      </c>
      <c r="I95" s="1">
        <v>0.388548</v>
      </c>
      <c r="J95" s="1">
        <v>0.94956471628729799</v>
      </c>
      <c r="K95" s="1" t="s">
        <v>23</v>
      </c>
      <c r="L95" s="1">
        <v>12</v>
      </c>
      <c r="M95" s="1">
        <v>1.7208699999999999</v>
      </c>
      <c r="N95" s="1">
        <v>2.0255937970697002</v>
      </c>
      <c r="O95" s="1">
        <f t="shared" si="3"/>
        <v>2.1094179999999998</v>
      </c>
      <c r="P95" s="1">
        <f t="shared" si="4"/>
        <v>-1.3190654999999998</v>
      </c>
      <c r="Q95" s="1">
        <f t="shared" si="5"/>
        <v>1</v>
      </c>
    </row>
    <row r="96" spans="1:17" s="1" customFormat="1" x14ac:dyDescent="0.2">
      <c r="A96" s="1" t="s">
        <v>178</v>
      </c>
      <c r="B96" s="1">
        <v>1</v>
      </c>
      <c r="C96" s="1">
        <v>-0.97989999999999999</v>
      </c>
      <c r="E96" s="1" t="s">
        <v>103</v>
      </c>
      <c r="F96" s="1" t="s">
        <v>70</v>
      </c>
      <c r="G96" s="1" t="s">
        <v>104</v>
      </c>
      <c r="H96" s="1">
        <v>9</v>
      </c>
      <c r="I96" s="1">
        <v>-0.102438888888888</v>
      </c>
      <c r="J96" s="1">
        <v>1.10975557567245</v>
      </c>
      <c r="K96" s="1" t="s">
        <v>71</v>
      </c>
      <c r="L96" s="1">
        <v>9</v>
      </c>
      <c r="M96" s="1">
        <v>0.436627777777777</v>
      </c>
      <c r="N96" s="1">
        <v>1.6967771336844499</v>
      </c>
      <c r="O96" s="1">
        <f t="shared" si="3"/>
        <v>0.33418888888888898</v>
      </c>
      <c r="P96" s="1">
        <f t="shared" si="4"/>
        <v>-1.3140888888888891</v>
      </c>
      <c r="Q96" s="1">
        <f t="shared" si="5"/>
        <v>1</v>
      </c>
    </row>
    <row r="97" spans="1:17" s="1" customFormat="1" x14ac:dyDescent="0.2">
      <c r="A97" s="1" t="s">
        <v>149</v>
      </c>
      <c r="B97" s="1">
        <v>2</v>
      </c>
      <c r="C97" s="1">
        <v>0.99004499999999995</v>
      </c>
      <c r="D97" s="1">
        <v>0.16582361125605699</v>
      </c>
      <c r="E97" s="1" t="s">
        <v>85</v>
      </c>
      <c r="F97" s="1" t="s">
        <v>25</v>
      </c>
      <c r="G97" s="1" t="s">
        <v>86</v>
      </c>
      <c r="H97" s="1">
        <v>11</v>
      </c>
      <c r="I97" s="1">
        <v>0.89274545454545395</v>
      </c>
      <c r="J97" s="1">
        <v>0.61421292855757503</v>
      </c>
      <c r="K97" s="1" t="s">
        <v>26</v>
      </c>
      <c r="L97" s="1">
        <v>12</v>
      </c>
      <c r="M97" s="1">
        <v>1.4098866666666601</v>
      </c>
      <c r="N97" s="1">
        <v>2.4071265767048402</v>
      </c>
      <c r="O97" s="1">
        <f t="shared" si="3"/>
        <v>2.3026321212121141</v>
      </c>
      <c r="P97" s="1">
        <f t="shared" si="4"/>
        <v>-1.3125871212121143</v>
      </c>
      <c r="Q97" s="1">
        <f t="shared" si="5"/>
        <v>1</v>
      </c>
    </row>
    <row r="98" spans="1:17" s="1" customFormat="1" x14ac:dyDescent="0.2">
      <c r="A98" s="1" t="s">
        <v>180</v>
      </c>
      <c r="B98" s="1">
        <v>1</v>
      </c>
      <c r="C98" s="1">
        <v>-0.64476999999999995</v>
      </c>
      <c r="E98" s="1" t="s">
        <v>79</v>
      </c>
      <c r="F98" s="1" t="s">
        <v>96</v>
      </c>
      <c r="G98" s="1" t="s">
        <v>80</v>
      </c>
      <c r="H98" s="1">
        <v>9</v>
      </c>
      <c r="I98" s="1">
        <v>1.3406211111111099</v>
      </c>
      <c r="J98" s="1">
        <v>0.51772118839304904</v>
      </c>
      <c r="K98" s="1" t="s">
        <v>97</v>
      </c>
      <c r="L98" s="1">
        <v>11</v>
      </c>
      <c r="M98" s="1">
        <v>-0.67713818181818197</v>
      </c>
      <c r="N98" s="1">
        <v>0.53652474380625104</v>
      </c>
      <c r="O98" s="1">
        <f t="shared" si="3"/>
        <v>0.66348292929292796</v>
      </c>
      <c r="P98" s="1">
        <f t="shared" si="4"/>
        <v>-1.3082529292929279</v>
      </c>
      <c r="Q98" s="1">
        <f t="shared" si="5"/>
        <v>1</v>
      </c>
    </row>
    <row r="99" spans="1:17" s="1" customFormat="1" x14ac:dyDescent="0.2">
      <c r="A99" s="1" t="s">
        <v>304</v>
      </c>
      <c r="B99" s="1">
        <v>2</v>
      </c>
      <c r="C99" s="1">
        <v>8.6599999999999993E-3</v>
      </c>
      <c r="D99" s="1">
        <v>1.14921822505562</v>
      </c>
      <c r="E99" s="1" t="s">
        <v>103</v>
      </c>
      <c r="F99" s="1" t="s">
        <v>25</v>
      </c>
      <c r="G99" s="1" t="s">
        <v>104</v>
      </c>
      <c r="H99" s="1">
        <v>9</v>
      </c>
      <c r="I99" s="1">
        <v>-0.102438888888888</v>
      </c>
      <c r="J99" s="1">
        <v>1.10975557567245</v>
      </c>
      <c r="K99" s="1" t="s">
        <v>26</v>
      </c>
      <c r="L99" s="1">
        <v>12</v>
      </c>
      <c r="M99" s="1">
        <v>1.4098866666666601</v>
      </c>
      <c r="N99" s="1">
        <v>2.4071265767048402</v>
      </c>
      <c r="O99" s="1">
        <f t="shared" si="3"/>
        <v>1.307447777777772</v>
      </c>
      <c r="P99" s="1">
        <f t="shared" si="4"/>
        <v>-1.2987877777777721</v>
      </c>
      <c r="Q99" s="1">
        <f t="shared" si="5"/>
        <v>1</v>
      </c>
    </row>
    <row r="100" spans="1:17" s="1" customFormat="1" x14ac:dyDescent="0.2">
      <c r="A100" s="1" t="s">
        <v>182</v>
      </c>
      <c r="B100" s="1">
        <v>2</v>
      </c>
      <c r="C100" s="1">
        <v>-8.2169999999999896E-2</v>
      </c>
      <c r="D100" s="1">
        <v>1.3271404333377801</v>
      </c>
      <c r="E100" s="1" t="s">
        <v>127</v>
      </c>
      <c r="F100" s="1" t="s">
        <v>96</v>
      </c>
      <c r="G100" s="1" t="s">
        <v>128</v>
      </c>
      <c r="H100" s="1">
        <v>10</v>
      </c>
      <c r="I100" s="1">
        <v>1.880876</v>
      </c>
      <c r="J100" s="1">
        <v>1.92300027836249</v>
      </c>
      <c r="K100" s="1" t="s">
        <v>97</v>
      </c>
      <c r="L100" s="1">
        <v>11</v>
      </c>
      <c r="M100" s="1">
        <v>-0.67713818181818197</v>
      </c>
      <c r="N100" s="1">
        <v>0.53652474380625104</v>
      </c>
      <c r="O100" s="1">
        <f t="shared" si="3"/>
        <v>1.2037378181818181</v>
      </c>
      <c r="P100" s="1">
        <f t="shared" si="4"/>
        <v>-1.285907818181818</v>
      </c>
      <c r="Q100" s="1">
        <f t="shared" si="5"/>
        <v>1</v>
      </c>
    </row>
    <row r="101" spans="1:17" s="1" customFormat="1" x14ac:dyDescent="0.2">
      <c r="A101" s="1" t="s">
        <v>183</v>
      </c>
      <c r="B101" s="1">
        <v>2</v>
      </c>
      <c r="C101" s="1">
        <v>1.02271</v>
      </c>
      <c r="D101" s="1">
        <v>9.2051160774864693E-2</v>
      </c>
      <c r="E101" s="1" t="s">
        <v>82</v>
      </c>
      <c r="F101" s="1" t="s">
        <v>44</v>
      </c>
      <c r="G101" s="1" t="s">
        <v>83</v>
      </c>
      <c r="H101" s="1">
        <v>5</v>
      </c>
      <c r="I101" s="1">
        <v>1.033558</v>
      </c>
      <c r="J101" s="1">
        <v>1.29359803757581</v>
      </c>
      <c r="K101" s="1" t="s">
        <v>45</v>
      </c>
      <c r="L101" s="1">
        <v>9</v>
      </c>
      <c r="M101" s="1">
        <v>1.2713288888888801</v>
      </c>
      <c r="N101" s="1">
        <v>2.2624284591641999</v>
      </c>
      <c r="O101" s="1">
        <f t="shared" si="3"/>
        <v>2.30488688888888</v>
      </c>
      <c r="P101" s="1">
        <f t="shared" si="4"/>
        <v>-1.28217688888888</v>
      </c>
      <c r="Q101" s="1">
        <f t="shared" si="5"/>
        <v>1</v>
      </c>
    </row>
    <row r="102" spans="1:17" s="1" customFormat="1" x14ac:dyDescent="0.2">
      <c r="A102" s="1" t="s">
        <v>184</v>
      </c>
      <c r="B102" s="1">
        <v>2</v>
      </c>
      <c r="C102" s="1">
        <v>-0.108749999999999</v>
      </c>
      <c r="D102" s="1">
        <v>1.48655058608847</v>
      </c>
      <c r="E102" s="1" t="s">
        <v>82</v>
      </c>
      <c r="F102" s="1" t="s">
        <v>115</v>
      </c>
      <c r="G102" s="1" t="s">
        <v>83</v>
      </c>
      <c r="H102" s="1">
        <v>5</v>
      </c>
      <c r="I102" s="1">
        <v>1.033558</v>
      </c>
      <c r="J102" s="1">
        <v>1.29359803757581</v>
      </c>
      <c r="K102" s="1" t="s">
        <v>117</v>
      </c>
      <c r="L102" s="1">
        <v>9</v>
      </c>
      <c r="M102" s="1">
        <v>0.137493333333333</v>
      </c>
      <c r="N102" s="1">
        <v>1.4100316225354601</v>
      </c>
      <c r="O102" s="1">
        <f t="shared" si="3"/>
        <v>1.171051333333333</v>
      </c>
      <c r="P102" s="1">
        <f t="shared" si="4"/>
        <v>-1.279801333333332</v>
      </c>
      <c r="Q102" s="1">
        <f t="shared" si="5"/>
        <v>1</v>
      </c>
    </row>
    <row r="103" spans="1:17" s="1" customFormat="1" x14ac:dyDescent="0.2">
      <c r="A103" s="1" t="s">
        <v>185</v>
      </c>
      <c r="B103" s="1">
        <v>2</v>
      </c>
      <c r="C103" s="1">
        <v>-1.4910999999999901</v>
      </c>
      <c r="D103" s="1">
        <v>0.52792592283387596</v>
      </c>
      <c r="E103" s="1" t="s">
        <v>76</v>
      </c>
      <c r="F103" s="1" t="s">
        <v>70</v>
      </c>
      <c r="G103" s="1" t="s">
        <v>77</v>
      </c>
      <c r="H103" s="1">
        <v>7</v>
      </c>
      <c r="I103" s="1">
        <v>-0.69767571428571395</v>
      </c>
      <c r="J103" s="1">
        <v>1.37870291931531</v>
      </c>
      <c r="K103" s="1" t="s">
        <v>71</v>
      </c>
      <c r="L103" s="1">
        <v>9</v>
      </c>
      <c r="M103" s="1">
        <v>0.436627777777777</v>
      </c>
      <c r="N103" s="1">
        <v>1.6967771336844499</v>
      </c>
      <c r="O103" s="1">
        <f t="shared" si="3"/>
        <v>-0.26104793650793695</v>
      </c>
      <c r="P103" s="1">
        <f t="shared" si="4"/>
        <v>-1.2300520634920531</v>
      </c>
      <c r="Q103" s="1">
        <f t="shared" si="5"/>
        <v>1</v>
      </c>
    </row>
    <row r="104" spans="1:17" s="1" customFormat="1" x14ac:dyDescent="0.2">
      <c r="A104" s="1" t="s">
        <v>142</v>
      </c>
      <c r="B104" s="1">
        <v>4</v>
      </c>
      <c r="C104" s="1">
        <v>1.59378</v>
      </c>
      <c r="D104" s="1">
        <v>1.84975381972845</v>
      </c>
      <c r="E104" s="1" t="s">
        <v>114</v>
      </c>
      <c r="F104" s="1" t="s">
        <v>31</v>
      </c>
      <c r="G104" s="1" t="s">
        <v>116</v>
      </c>
      <c r="H104" s="1">
        <v>11</v>
      </c>
      <c r="I104" s="1">
        <v>1.68324272727272</v>
      </c>
      <c r="J104" s="1">
        <v>1.46712339504276</v>
      </c>
      <c r="K104" s="1" t="s">
        <v>33</v>
      </c>
      <c r="L104" s="1">
        <v>13</v>
      </c>
      <c r="M104" s="1">
        <v>1.12689461538461</v>
      </c>
      <c r="N104" s="1">
        <v>2.6514113909218699</v>
      </c>
      <c r="O104" s="1">
        <f t="shared" si="3"/>
        <v>2.8101373426573302</v>
      </c>
      <c r="P104" s="1">
        <f t="shared" si="4"/>
        <v>-1.2163573426573302</v>
      </c>
      <c r="Q104" s="1">
        <f t="shared" si="5"/>
        <v>1</v>
      </c>
    </row>
    <row r="105" spans="1:17" s="1" customFormat="1" x14ac:dyDescent="0.2">
      <c r="A105" s="1" t="s">
        <v>187</v>
      </c>
      <c r="B105" s="1">
        <v>2</v>
      </c>
      <c r="C105" s="1">
        <v>0.51139999999999997</v>
      </c>
      <c r="D105" s="1">
        <v>2.6403367209505602</v>
      </c>
      <c r="E105" s="1" t="s">
        <v>93</v>
      </c>
      <c r="F105" s="1" t="s">
        <v>44</v>
      </c>
      <c r="G105" s="1" t="s">
        <v>94</v>
      </c>
      <c r="H105" s="1">
        <v>6</v>
      </c>
      <c r="I105" s="1">
        <v>0.42126999999999998</v>
      </c>
      <c r="J105" s="1">
        <v>0.93603800183539498</v>
      </c>
      <c r="K105" s="1" t="s">
        <v>45</v>
      </c>
      <c r="L105" s="1">
        <v>9</v>
      </c>
      <c r="M105" s="1">
        <v>1.2713288888888801</v>
      </c>
      <c r="N105" s="1">
        <v>2.2624284591641999</v>
      </c>
      <c r="O105" s="1">
        <f t="shared" si="3"/>
        <v>1.6925988888888801</v>
      </c>
      <c r="P105" s="1">
        <f t="shared" si="4"/>
        <v>-1.18119888888888</v>
      </c>
      <c r="Q105" s="1">
        <f t="shared" si="5"/>
        <v>1</v>
      </c>
    </row>
    <row r="106" spans="1:17" s="1" customFormat="1" x14ac:dyDescent="0.2">
      <c r="A106" s="1" t="s">
        <v>188</v>
      </c>
      <c r="B106" s="1">
        <v>2</v>
      </c>
      <c r="C106" s="1">
        <v>1.1046499999999999</v>
      </c>
      <c r="D106" s="1">
        <v>8.9449007820098E-2</v>
      </c>
      <c r="E106" s="1" t="s">
        <v>127</v>
      </c>
      <c r="F106" s="1" t="s">
        <v>47</v>
      </c>
      <c r="G106" s="1" t="s">
        <v>128</v>
      </c>
      <c r="H106" s="1">
        <v>10</v>
      </c>
      <c r="I106" s="1">
        <v>1.880876</v>
      </c>
      <c r="J106" s="1">
        <v>1.92300027836249</v>
      </c>
      <c r="K106" s="1" t="s">
        <v>48</v>
      </c>
      <c r="L106" s="1">
        <v>13</v>
      </c>
      <c r="M106" s="1">
        <v>0.39538538461538397</v>
      </c>
      <c r="N106" s="1">
        <v>1.9995421937267499</v>
      </c>
      <c r="O106" s="1">
        <f t="shared" si="3"/>
        <v>2.2762613846153839</v>
      </c>
      <c r="P106" s="1">
        <f t="shared" si="4"/>
        <v>-1.1716113846153839</v>
      </c>
      <c r="Q106" s="1">
        <f t="shared" si="5"/>
        <v>1</v>
      </c>
    </row>
    <row r="107" spans="1:17" s="1" customFormat="1" x14ac:dyDescent="0.2">
      <c r="A107" s="1" t="s">
        <v>189</v>
      </c>
      <c r="B107" s="1">
        <v>2</v>
      </c>
      <c r="C107" s="1">
        <v>-1.0143</v>
      </c>
      <c r="D107" s="1">
        <v>0.61603142776971997</v>
      </c>
      <c r="E107" s="1" t="s">
        <v>73</v>
      </c>
      <c r="F107" s="1" t="s">
        <v>140</v>
      </c>
      <c r="G107" s="1" t="s">
        <v>74</v>
      </c>
      <c r="H107" s="1">
        <v>7</v>
      </c>
      <c r="I107" s="1">
        <v>-3.2529999999999899E-2</v>
      </c>
      <c r="J107" s="1">
        <v>1.4564495190817</v>
      </c>
      <c r="K107" s="1" t="s">
        <v>141</v>
      </c>
      <c r="L107" s="1">
        <v>8</v>
      </c>
      <c r="M107" s="1">
        <v>0.172484999999999</v>
      </c>
      <c r="N107" s="1">
        <v>1.0826691051549999</v>
      </c>
      <c r="O107" s="1">
        <f t="shared" si="3"/>
        <v>0.13995499999999911</v>
      </c>
      <c r="P107" s="1">
        <f t="shared" si="4"/>
        <v>-1.1542549999999991</v>
      </c>
      <c r="Q107" s="1">
        <f t="shared" si="5"/>
        <v>1</v>
      </c>
    </row>
    <row r="108" spans="1:17" s="1" customFormat="1" x14ac:dyDescent="0.2">
      <c r="A108" s="1" t="s">
        <v>190</v>
      </c>
      <c r="B108" s="1">
        <v>1</v>
      </c>
      <c r="C108" s="1">
        <v>-1.8268</v>
      </c>
      <c r="E108" s="1" t="s">
        <v>103</v>
      </c>
      <c r="F108" s="1" t="s">
        <v>111</v>
      </c>
      <c r="G108" s="1" t="s">
        <v>104</v>
      </c>
      <c r="H108" s="1">
        <v>9</v>
      </c>
      <c r="I108" s="1">
        <v>-0.102438888888888</v>
      </c>
      <c r="J108" s="1">
        <v>1.10975557567245</v>
      </c>
      <c r="K108" s="1" t="s">
        <v>112</v>
      </c>
      <c r="L108" s="1">
        <v>8</v>
      </c>
      <c r="M108" s="1">
        <v>-0.57354125</v>
      </c>
      <c r="N108" s="1">
        <v>1.08103701105449</v>
      </c>
      <c r="O108" s="1">
        <f t="shared" si="3"/>
        <v>-0.67598013888888797</v>
      </c>
      <c r="P108" s="1">
        <f t="shared" si="4"/>
        <v>-1.150819861111112</v>
      </c>
      <c r="Q108" s="1">
        <f t="shared" si="5"/>
        <v>1</v>
      </c>
    </row>
    <row r="109" spans="1:17" s="1" customFormat="1" x14ac:dyDescent="0.2">
      <c r="A109" s="1" t="s">
        <v>191</v>
      </c>
      <c r="B109" s="1">
        <v>4</v>
      </c>
      <c r="C109" s="1">
        <v>-0.61702499999999905</v>
      </c>
      <c r="D109" s="1">
        <v>1.0948269541652</v>
      </c>
      <c r="E109" s="1" t="s">
        <v>55</v>
      </c>
      <c r="F109" s="1" t="s">
        <v>115</v>
      </c>
      <c r="G109" s="1" t="s">
        <v>56</v>
      </c>
      <c r="H109" s="1">
        <v>10</v>
      </c>
      <c r="I109" s="1">
        <v>0.388548</v>
      </c>
      <c r="J109" s="1">
        <v>0.94956471628729799</v>
      </c>
      <c r="K109" s="1" t="s">
        <v>117</v>
      </c>
      <c r="L109" s="1">
        <v>9</v>
      </c>
      <c r="M109" s="1">
        <v>0.137493333333333</v>
      </c>
      <c r="N109" s="1">
        <v>1.4100316225354601</v>
      </c>
      <c r="O109" s="1">
        <f t="shared" si="3"/>
        <v>0.52604133333333303</v>
      </c>
      <c r="P109" s="1">
        <f t="shared" si="4"/>
        <v>-1.1430663333333322</v>
      </c>
      <c r="Q109" s="1">
        <f t="shared" si="5"/>
        <v>1</v>
      </c>
    </row>
    <row r="110" spans="1:17" s="1" customFormat="1" x14ac:dyDescent="0.2">
      <c r="A110" s="1" t="s">
        <v>192</v>
      </c>
      <c r="B110" s="1">
        <v>1</v>
      </c>
      <c r="C110" s="1">
        <v>0.59506999999999999</v>
      </c>
      <c r="E110" s="1" t="s">
        <v>79</v>
      </c>
      <c r="F110" s="1" t="s">
        <v>47</v>
      </c>
      <c r="G110" s="1" t="s">
        <v>80</v>
      </c>
      <c r="H110" s="1">
        <v>9</v>
      </c>
      <c r="I110" s="1">
        <v>1.3406211111111099</v>
      </c>
      <c r="J110" s="1">
        <v>0.51772118839304904</v>
      </c>
      <c r="K110" s="1" t="s">
        <v>48</v>
      </c>
      <c r="L110" s="1">
        <v>13</v>
      </c>
      <c r="M110" s="1">
        <v>0.39538538461538397</v>
      </c>
      <c r="N110" s="1">
        <v>1.9995421937267499</v>
      </c>
      <c r="O110" s="1">
        <f t="shared" si="3"/>
        <v>1.7360064957264938</v>
      </c>
      <c r="P110" s="1">
        <f t="shared" si="4"/>
        <v>-1.1409364957264938</v>
      </c>
      <c r="Q110" s="1">
        <f t="shared" si="5"/>
        <v>1</v>
      </c>
    </row>
    <row r="111" spans="1:17" s="1" customFormat="1" x14ac:dyDescent="0.2">
      <c r="A111" s="1" t="s">
        <v>193</v>
      </c>
      <c r="B111" s="1">
        <v>2</v>
      </c>
      <c r="C111" s="1">
        <v>0.85846500000000003</v>
      </c>
      <c r="D111" s="1">
        <v>0.20397909316888299</v>
      </c>
      <c r="E111" s="1" t="s">
        <v>114</v>
      </c>
      <c r="F111" s="1" t="s">
        <v>51</v>
      </c>
      <c r="G111" s="1" t="s">
        <v>116</v>
      </c>
      <c r="H111" s="1">
        <v>11</v>
      </c>
      <c r="I111" s="1">
        <v>1.68324272727272</v>
      </c>
      <c r="J111" s="1">
        <v>1.46712339504276</v>
      </c>
      <c r="K111" s="1" t="s">
        <v>29</v>
      </c>
      <c r="L111" s="1">
        <v>11</v>
      </c>
      <c r="M111" s="1">
        <v>0.28300999999999998</v>
      </c>
      <c r="N111" s="1">
        <v>1.4668923681374799</v>
      </c>
      <c r="O111" s="1">
        <f t="shared" si="3"/>
        <v>1.9662527272727199</v>
      </c>
      <c r="P111" s="1">
        <f t="shared" si="4"/>
        <v>-1.1077877272727199</v>
      </c>
      <c r="Q111" s="1">
        <f t="shared" si="5"/>
        <v>1</v>
      </c>
    </row>
    <row r="112" spans="1:17" s="1" customFormat="1" x14ac:dyDescent="0.2">
      <c r="A112" s="1" t="s">
        <v>194</v>
      </c>
      <c r="B112" s="1">
        <v>3</v>
      </c>
      <c r="C112" s="1">
        <v>-1.71216666666666</v>
      </c>
      <c r="D112" s="1">
        <v>0.45208306021497102</v>
      </c>
      <c r="E112" s="1" t="s">
        <v>73</v>
      </c>
      <c r="F112" s="1" t="s">
        <v>111</v>
      </c>
      <c r="G112" s="1" t="s">
        <v>74</v>
      </c>
      <c r="H112" s="1">
        <v>7</v>
      </c>
      <c r="I112" s="1">
        <v>-3.2529999999999899E-2</v>
      </c>
      <c r="J112" s="1">
        <v>1.4564495190817</v>
      </c>
      <c r="K112" s="1" t="s">
        <v>112</v>
      </c>
      <c r="L112" s="1">
        <v>8</v>
      </c>
      <c r="M112" s="1">
        <v>-0.57354125</v>
      </c>
      <c r="N112" s="1">
        <v>1.08103701105449</v>
      </c>
      <c r="O112" s="1">
        <f t="shared" si="3"/>
        <v>-0.60607124999999995</v>
      </c>
      <c r="P112" s="1">
        <f t="shared" si="4"/>
        <v>-1.1060954166666601</v>
      </c>
      <c r="Q112" s="1">
        <f t="shared" si="5"/>
        <v>1</v>
      </c>
    </row>
    <row r="113" spans="1:17" s="1" customFormat="1" x14ac:dyDescent="0.2">
      <c r="A113" s="1" t="s">
        <v>195</v>
      </c>
      <c r="B113" s="1">
        <v>1</v>
      </c>
      <c r="C113" s="1">
        <v>-1.4746999999999999</v>
      </c>
      <c r="E113" s="1" t="s">
        <v>60</v>
      </c>
      <c r="F113" s="1" t="s">
        <v>47</v>
      </c>
      <c r="G113" s="1" t="s">
        <v>62</v>
      </c>
      <c r="H113" s="1">
        <v>10</v>
      </c>
      <c r="I113" s="1">
        <v>-0.77134100000000005</v>
      </c>
      <c r="J113" s="1">
        <v>0.73984927907198295</v>
      </c>
      <c r="K113" s="1" t="s">
        <v>48</v>
      </c>
      <c r="L113" s="1">
        <v>13</v>
      </c>
      <c r="M113" s="1">
        <v>0.39538538461538397</v>
      </c>
      <c r="N113" s="1">
        <v>1.9995421937267499</v>
      </c>
      <c r="O113" s="1">
        <f t="shared" si="3"/>
        <v>-0.37595561538461608</v>
      </c>
      <c r="P113" s="1">
        <f t="shared" si="4"/>
        <v>-1.0987443846153839</v>
      </c>
      <c r="Q113" s="1">
        <f t="shared" si="5"/>
        <v>1</v>
      </c>
    </row>
    <row r="114" spans="1:17" s="1" customFormat="1" x14ac:dyDescent="0.2">
      <c r="A114" s="1" t="s">
        <v>196</v>
      </c>
      <c r="B114" s="1">
        <v>2</v>
      </c>
      <c r="C114" s="1">
        <v>0.27146499999999901</v>
      </c>
      <c r="D114" s="1">
        <v>1.4187885432473699</v>
      </c>
      <c r="E114" s="1" t="s">
        <v>38</v>
      </c>
      <c r="F114" s="1" t="s">
        <v>170</v>
      </c>
      <c r="G114" s="1" t="s">
        <v>39</v>
      </c>
      <c r="H114" s="1">
        <v>6</v>
      </c>
      <c r="I114" s="1">
        <v>2.2193033333333299</v>
      </c>
      <c r="J114" s="1">
        <v>2.10856206151648</v>
      </c>
      <c r="K114" s="1" t="s">
        <v>171</v>
      </c>
      <c r="L114" s="1">
        <v>12</v>
      </c>
      <c r="M114" s="1">
        <v>-0.91476500000000005</v>
      </c>
      <c r="N114" s="1">
        <v>1.14711629868117</v>
      </c>
      <c r="O114" s="1">
        <f t="shared" si="3"/>
        <v>1.3045383333333298</v>
      </c>
      <c r="P114" s="1">
        <f t="shared" si="4"/>
        <v>-1.0330733333333308</v>
      </c>
      <c r="Q114" s="1">
        <f t="shared" si="5"/>
        <v>1</v>
      </c>
    </row>
    <row r="115" spans="1:17" s="1" customFormat="1" x14ac:dyDescent="0.2">
      <c r="A115" s="1" t="s">
        <v>197</v>
      </c>
      <c r="B115" s="1">
        <v>3</v>
      </c>
      <c r="C115" s="1">
        <v>-0.4884</v>
      </c>
      <c r="D115" s="1">
        <v>1.8634154314054601</v>
      </c>
      <c r="E115" s="1" t="s">
        <v>60</v>
      </c>
      <c r="F115" s="1" t="s">
        <v>44</v>
      </c>
      <c r="G115" s="1" t="s">
        <v>62</v>
      </c>
      <c r="H115" s="1">
        <v>10</v>
      </c>
      <c r="I115" s="1">
        <v>-0.77134100000000005</v>
      </c>
      <c r="J115" s="1">
        <v>0.73984927907198295</v>
      </c>
      <c r="K115" s="1" t="s">
        <v>45</v>
      </c>
      <c r="L115" s="1">
        <v>9</v>
      </c>
      <c r="M115" s="1">
        <v>1.2713288888888801</v>
      </c>
      <c r="N115" s="1">
        <v>2.2624284591641999</v>
      </c>
      <c r="O115" s="1">
        <f t="shared" si="3"/>
        <v>0.49998788888888002</v>
      </c>
      <c r="P115" s="1">
        <f t="shared" si="4"/>
        <v>-0.98838788888887996</v>
      </c>
      <c r="Q115" s="1">
        <f t="shared" si="5"/>
        <v>1</v>
      </c>
    </row>
    <row r="116" spans="1:17" s="1" customFormat="1" x14ac:dyDescent="0.2">
      <c r="A116" s="1" t="s">
        <v>198</v>
      </c>
      <c r="B116" s="1">
        <v>4</v>
      </c>
      <c r="C116" s="1">
        <v>-1.3996225</v>
      </c>
      <c r="D116" s="1">
        <v>0.57291603110025302</v>
      </c>
      <c r="E116" s="1" t="s">
        <v>76</v>
      </c>
      <c r="F116" s="1" t="s">
        <v>51</v>
      </c>
      <c r="G116" s="1" t="s">
        <v>77</v>
      </c>
      <c r="H116" s="1">
        <v>7</v>
      </c>
      <c r="I116" s="1">
        <v>-0.69767571428571395</v>
      </c>
      <c r="J116" s="1">
        <v>1.37870291931531</v>
      </c>
      <c r="K116" s="1" t="s">
        <v>29</v>
      </c>
      <c r="L116" s="1">
        <v>11</v>
      </c>
      <c r="M116" s="1">
        <v>0.28300999999999998</v>
      </c>
      <c r="N116" s="1">
        <v>1.4668923681374799</v>
      </c>
      <c r="O116" s="1">
        <f t="shared" si="3"/>
        <v>-0.41466571428571397</v>
      </c>
      <c r="P116" s="1">
        <f t="shared" si="4"/>
        <v>-0.98495678571428602</v>
      </c>
      <c r="Q116" s="1">
        <f t="shared" si="5"/>
        <v>1</v>
      </c>
    </row>
    <row r="117" spans="1:17" s="1" customFormat="1" x14ac:dyDescent="0.2">
      <c r="A117" s="1" t="s">
        <v>107</v>
      </c>
      <c r="B117" s="1">
        <v>5</v>
      </c>
      <c r="C117" s="1">
        <v>-0.30226599999999998</v>
      </c>
      <c r="D117" s="1">
        <v>0.83848445923582804</v>
      </c>
      <c r="E117" s="1" t="s">
        <v>89</v>
      </c>
      <c r="F117" s="1" t="s">
        <v>28</v>
      </c>
      <c r="G117" s="1" t="s">
        <v>90</v>
      </c>
      <c r="H117" s="1">
        <v>10</v>
      </c>
      <c r="I117" s="1">
        <v>0.71304500000000004</v>
      </c>
      <c r="J117" s="1">
        <v>1.2054066597188</v>
      </c>
      <c r="K117" s="1" t="s">
        <v>58</v>
      </c>
      <c r="L117" s="1">
        <v>13</v>
      </c>
      <c r="M117" s="1">
        <v>-5.0181538461538402E-2</v>
      </c>
      <c r="N117" s="1">
        <v>1.17547401340796</v>
      </c>
      <c r="O117" s="1">
        <f t="shared" si="3"/>
        <v>0.66286346153846165</v>
      </c>
      <c r="P117" s="1">
        <f t="shared" si="4"/>
        <v>-0.96512946153846157</v>
      </c>
      <c r="Q117" s="1">
        <f t="shared" si="5"/>
        <v>1</v>
      </c>
    </row>
    <row r="118" spans="1:17" s="1" customFormat="1" x14ac:dyDescent="0.2">
      <c r="A118" s="1" t="s">
        <v>200</v>
      </c>
      <c r="B118" s="1">
        <v>3</v>
      </c>
      <c r="C118" s="1">
        <v>1.9168000000000001</v>
      </c>
      <c r="D118" s="1">
        <v>0.80121982626492705</v>
      </c>
      <c r="E118" s="1" t="s">
        <v>79</v>
      </c>
      <c r="F118" s="1" t="s">
        <v>61</v>
      </c>
      <c r="G118" s="1" t="s">
        <v>80</v>
      </c>
      <c r="H118" s="1">
        <v>9</v>
      </c>
      <c r="I118" s="1">
        <v>1.3406211111111099</v>
      </c>
      <c r="J118" s="1">
        <v>0.51772118839304904</v>
      </c>
      <c r="K118" s="1" t="s">
        <v>63</v>
      </c>
      <c r="L118" s="1">
        <v>8</v>
      </c>
      <c r="M118" s="1">
        <v>1.5330999999999999</v>
      </c>
      <c r="N118" s="1">
        <v>3.6639506145026401</v>
      </c>
      <c r="O118" s="1">
        <f t="shared" si="3"/>
        <v>2.8737211111111098</v>
      </c>
      <c r="P118" s="1">
        <f t="shared" si="4"/>
        <v>-0.95692111111110978</v>
      </c>
      <c r="Q118" s="1">
        <f t="shared" si="5"/>
        <v>1</v>
      </c>
    </row>
    <row r="119" spans="1:17" s="1" customFormat="1" x14ac:dyDescent="0.2">
      <c r="A119" s="1" t="s">
        <v>201</v>
      </c>
      <c r="B119" s="1">
        <v>3</v>
      </c>
      <c r="C119" s="1">
        <v>1.65506666666666</v>
      </c>
      <c r="D119" s="1">
        <v>0.55961162723207702</v>
      </c>
      <c r="E119" s="1" t="s">
        <v>79</v>
      </c>
      <c r="F119" s="1" t="s">
        <v>44</v>
      </c>
      <c r="G119" s="1" t="s">
        <v>80</v>
      </c>
      <c r="H119" s="1">
        <v>9</v>
      </c>
      <c r="I119" s="1">
        <v>1.3406211111111099</v>
      </c>
      <c r="J119" s="1">
        <v>0.51772118839304904</v>
      </c>
      <c r="K119" s="1" t="s">
        <v>45</v>
      </c>
      <c r="L119" s="1">
        <v>9</v>
      </c>
      <c r="M119" s="1">
        <v>1.2713288888888801</v>
      </c>
      <c r="N119" s="1">
        <v>2.2624284591641999</v>
      </c>
      <c r="O119" s="1">
        <f t="shared" si="3"/>
        <v>2.61194999999999</v>
      </c>
      <c r="P119" s="1">
        <f t="shared" si="4"/>
        <v>-0.95688333333332998</v>
      </c>
      <c r="Q119" s="1">
        <f t="shared" si="5"/>
        <v>1</v>
      </c>
    </row>
    <row r="120" spans="1:17" s="1" customFormat="1" x14ac:dyDescent="0.2">
      <c r="A120" s="1" t="s">
        <v>202</v>
      </c>
      <c r="B120" s="1">
        <v>3</v>
      </c>
      <c r="C120" s="1">
        <v>1.2290300000000001</v>
      </c>
      <c r="D120" s="1">
        <v>0.52923985176855204</v>
      </c>
      <c r="E120" s="1" t="s">
        <v>38</v>
      </c>
      <c r="F120" s="1" t="s">
        <v>66</v>
      </c>
      <c r="G120" s="1" t="s">
        <v>39</v>
      </c>
      <c r="H120" s="1">
        <v>6</v>
      </c>
      <c r="I120" s="1">
        <v>2.2193033333333299</v>
      </c>
      <c r="J120" s="1">
        <v>2.10856206151648</v>
      </c>
      <c r="K120" s="1" t="s">
        <v>67</v>
      </c>
      <c r="L120" s="1">
        <v>7</v>
      </c>
      <c r="M120" s="1">
        <v>-3.6201428571428503E-2</v>
      </c>
      <c r="N120" s="1">
        <v>1.14054237817552</v>
      </c>
      <c r="O120" s="1">
        <f t="shared" si="3"/>
        <v>2.1831019047619011</v>
      </c>
      <c r="P120" s="1">
        <f t="shared" si="4"/>
        <v>-0.95407190476190107</v>
      </c>
      <c r="Q120" s="1">
        <f t="shared" si="5"/>
        <v>1</v>
      </c>
    </row>
    <row r="121" spans="1:17" s="1" customFormat="1" x14ac:dyDescent="0.2">
      <c r="A121" s="1" t="s">
        <v>203</v>
      </c>
      <c r="B121" s="1">
        <v>2</v>
      </c>
      <c r="C121" s="1">
        <v>0.56135500000000005</v>
      </c>
      <c r="D121" s="1">
        <v>1.7726389186887399</v>
      </c>
      <c r="E121" s="1" t="s">
        <v>79</v>
      </c>
      <c r="F121" s="1" t="s">
        <v>140</v>
      </c>
      <c r="G121" s="1" t="s">
        <v>80</v>
      </c>
      <c r="H121" s="1">
        <v>9</v>
      </c>
      <c r="I121" s="1">
        <v>1.3406211111111099</v>
      </c>
      <c r="J121" s="1">
        <v>0.51772118839304904</v>
      </c>
      <c r="K121" s="1" t="s">
        <v>141</v>
      </c>
      <c r="L121" s="1">
        <v>8</v>
      </c>
      <c r="M121" s="1">
        <v>0.172484999999999</v>
      </c>
      <c r="N121" s="1">
        <v>1.0826691051549999</v>
      </c>
      <c r="O121" s="1">
        <f t="shared" si="3"/>
        <v>1.5131061111111088</v>
      </c>
      <c r="P121" s="1">
        <f t="shared" si="4"/>
        <v>-0.95175111111110877</v>
      </c>
      <c r="Q121" s="1">
        <f t="shared" si="5"/>
        <v>1</v>
      </c>
    </row>
    <row r="122" spans="1:17" s="1" customFormat="1" x14ac:dyDescent="0.2">
      <c r="A122" s="1" t="s">
        <v>106</v>
      </c>
      <c r="B122" s="1">
        <v>2</v>
      </c>
      <c r="C122" s="1">
        <v>1.4966599999999901</v>
      </c>
      <c r="D122" s="1">
        <v>0.81535068725058402</v>
      </c>
      <c r="E122" s="1" t="s">
        <v>82</v>
      </c>
      <c r="F122" s="1" t="s">
        <v>25</v>
      </c>
      <c r="G122" s="1" t="s">
        <v>83</v>
      </c>
      <c r="H122" s="1">
        <v>5</v>
      </c>
      <c r="I122" s="1">
        <v>1.033558</v>
      </c>
      <c r="J122" s="1">
        <v>1.29359803757581</v>
      </c>
      <c r="K122" s="1" t="s">
        <v>26</v>
      </c>
      <c r="L122" s="1">
        <v>12</v>
      </c>
      <c r="M122" s="1">
        <v>1.4098866666666601</v>
      </c>
      <c r="N122" s="1">
        <v>2.4071265767048402</v>
      </c>
      <c r="O122" s="1">
        <f t="shared" si="3"/>
        <v>2.44344466666666</v>
      </c>
      <c r="P122" s="1">
        <f t="shared" si="4"/>
        <v>-0.94678466666666994</v>
      </c>
      <c r="Q122" s="1">
        <f t="shared" si="5"/>
        <v>1</v>
      </c>
    </row>
    <row r="123" spans="1:17" s="1" customFormat="1" x14ac:dyDescent="0.2">
      <c r="A123" s="1" t="s">
        <v>205</v>
      </c>
      <c r="B123" s="1">
        <v>4</v>
      </c>
      <c r="C123" s="1">
        <v>1.14466</v>
      </c>
      <c r="D123" s="1">
        <v>0.20748326775911299</v>
      </c>
      <c r="E123" s="1" t="s">
        <v>114</v>
      </c>
      <c r="F123" s="1" t="s">
        <v>47</v>
      </c>
      <c r="G123" s="1" t="s">
        <v>116</v>
      </c>
      <c r="H123" s="1">
        <v>11</v>
      </c>
      <c r="I123" s="1">
        <v>1.68324272727272</v>
      </c>
      <c r="J123" s="1">
        <v>1.46712339504276</v>
      </c>
      <c r="K123" s="1" t="s">
        <v>48</v>
      </c>
      <c r="L123" s="1">
        <v>13</v>
      </c>
      <c r="M123" s="1">
        <v>0.39538538461538397</v>
      </c>
      <c r="N123" s="1">
        <v>1.9995421937267499</v>
      </c>
      <c r="O123" s="1">
        <f t="shared" si="3"/>
        <v>2.0786281118881038</v>
      </c>
      <c r="P123" s="1">
        <f t="shared" si="4"/>
        <v>-0.9339681118881038</v>
      </c>
      <c r="Q123" s="1">
        <f t="shared" si="5"/>
        <v>1</v>
      </c>
    </row>
    <row r="124" spans="1:17" s="1" customFormat="1" x14ac:dyDescent="0.2">
      <c r="A124" s="1" t="s">
        <v>206</v>
      </c>
      <c r="B124" s="1">
        <v>2</v>
      </c>
      <c r="C124" s="1">
        <v>0.19474999999999901</v>
      </c>
      <c r="D124" s="1">
        <v>1.8811161699905701</v>
      </c>
      <c r="E124" s="1" t="s">
        <v>114</v>
      </c>
      <c r="F124" s="1" t="s">
        <v>111</v>
      </c>
      <c r="G124" s="1" t="s">
        <v>116</v>
      </c>
      <c r="H124" s="1">
        <v>11</v>
      </c>
      <c r="I124" s="1">
        <v>1.68324272727272</v>
      </c>
      <c r="J124" s="1">
        <v>1.46712339504276</v>
      </c>
      <c r="K124" s="1" t="s">
        <v>112</v>
      </c>
      <c r="L124" s="1">
        <v>8</v>
      </c>
      <c r="M124" s="1">
        <v>-0.57354125</v>
      </c>
      <c r="N124" s="1">
        <v>1.08103701105449</v>
      </c>
      <c r="O124" s="1">
        <f t="shared" si="3"/>
        <v>1.1097014772727198</v>
      </c>
      <c r="P124" s="1">
        <f t="shared" si="4"/>
        <v>-0.91495147727272086</v>
      </c>
      <c r="Q124" s="1">
        <f t="shared" si="5"/>
        <v>1</v>
      </c>
    </row>
    <row r="125" spans="1:17" s="1" customFormat="1" x14ac:dyDescent="0.2">
      <c r="A125" s="1" t="s">
        <v>207</v>
      </c>
      <c r="B125" s="1">
        <v>2</v>
      </c>
      <c r="C125" s="1">
        <v>1.8424499999999999</v>
      </c>
      <c r="D125" s="1">
        <v>0.69784368235300298</v>
      </c>
      <c r="E125" s="1" t="s">
        <v>82</v>
      </c>
      <c r="F125" s="1" t="s">
        <v>21</v>
      </c>
      <c r="G125" s="1" t="s">
        <v>83</v>
      </c>
      <c r="H125" s="1">
        <v>5</v>
      </c>
      <c r="I125" s="1">
        <v>1.033558</v>
      </c>
      <c r="J125" s="1">
        <v>1.29359803757581</v>
      </c>
      <c r="K125" s="1" t="s">
        <v>23</v>
      </c>
      <c r="L125" s="1">
        <v>12</v>
      </c>
      <c r="M125" s="1">
        <v>1.7208699999999999</v>
      </c>
      <c r="N125" s="1">
        <v>2.0255937970697002</v>
      </c>
      <c r="O125" s="1">
        <f t="shared" si="3"/>
        <v>2.7544279999999999</v>
      </c>
      <c r="P125" s="1">
        <f t="shared" si="4"/>
        <v>-0.91197799999999996</v>
      </c>
      <c r="Q125" s="1">
        <f t="shared" si="5"/>
        <v>1</v>
      </c>
    </row>
    <row r="126" spans="1:17" s="1" customFormat="1" x14ac:dyDescent="0.2">
      <c r="A126" s="1" t="s">
        <v>163</v>
      </c>
      <c r="B126" s="1">
        <v>2</v>
      </c>
      <c r="C126" s="1">
        <v>-1.638315</v>
      </c>
      <c r="D126" s="1">
        <v>0.90450978129039505</v>
      </c>
      <c r="E126" s="1" t="s">
        <v>76</v>
      </c>
      <c r="F126" s="1" t="s">
        <v>28</v>
      </c>
      <c r="G126" s="1" t="s">
        <v>77</v>
      </c>
      <c r="H126" s="1">
        <v>7</v>
      </c>
      <c r="I126" s="1">
        <v>-0.69767571428571395</v>
      </c>
      <c r="J126" s="1">
        <v>1.37870291931531</v>
      </c>
      <c r="K126" s="1" t="s">
        <v>58</v>
      </c>
      <c r="L126" s="1">
        <v>13</v>
      </c>
      <c r="M126" s="1">
        <v>-5.0181538461538402E-2</v>
      </c>
      <c r="N126" s="1">
        <v>1.17547401340796</v>
      </c>
      <c r="O126" s="1">
        <f t="shared" si="3"/>
        <v>-0.74785725274725234</v>
      </c>
      <c r="P126" s="1">
        <f t="shared" si="4"/>
        <v>-0.89045774725274762</v>
      </c>
      <c r="Q126" s="1">
        <f t="shared" si="5"/>
        <v>1</v>
      </c>
    </row>
    <row r="127" spans="1:17" s="1" customFormat="1" x14ac:dyDescent="0.2">
      <c r="A127" s="1" t="s">
        <v>209</v>
      </c>
      <c r="B127" s="1">
        <v>4</v>
      </c>
      <c r="C127" s="1">
        <v>0.77578749999999996</v>
      </c>
      <c r="D127" s="1">
        <v>0.276569519093602</v>
      </c>
      <c r="E127" s="1" t="s">
        <v>103</v>
      </c>
      <c r="F127" s="1" t="s">
        <v>21</v>
      </c>
      <c r="G127" s="1" t="s">
        <v>104</v>
      </c>
      <c r="H127" s="1">
        <v>9</v>
      </c>
      <c r="I127" s="1">
        <v>-0.102438888888888</v>
      </c>
      <c r="J127" s="1">
        <v>1.10975557567245</v>
      </c>
      <c r="K127" s="1" t="s">
        <v>23</v>
      </c>
      <c r="L127" s="1">
        <v>12</v>
      </c>
      <c r="M127" s="1">
        <v>1.7208699999999999</v>
      </c>
      <c r="N127" s="1">
        <v>2.0255937970697002</v>
      </c>
      <c r="O127" s="1">
        <f t="shared" si="3"/>
        <v>1.6184311111111118</v>
      </c>
      <c r="P127" s="1">
        <f t="shared" si="4"/>
        <v>-0.84264361111111186</v>
      </c>
      <c r="Q127" s="1">
        <f t="shared" si="5"/>
        <v>1</v>
      </c>
    </row>
    <row r="128" spans="1:17" s="1" customFormat="1" x14ac:dyDescent="0.2">
      <c r="A128" s="1" t="s">
        <v>210</v>
      </c>
      <c r="B128" s="1">
        <v>1</v>
      </c>
      <c r="C128" s="1">
        <v>-1.3987000000000001</v>
      </c>
      <c r="E128" s="1" t="s">
        <v>76</v>
      </c>
      <c r="F128" s="1" t="s">
        <v>115</v>
      </c>
      <c r="G128" s="1" t="s">
        <v>77</v>
      </c>
      <c r="H128" s="1">
        <v>7</v>
      </c>
      <c r="I128" s="1">
        <v>-0.69767571428571395</v>
      </c>
      <c r="J128" s="1">
        <v>1.37870291931531</v>
      </c>
      <c r="K128" s="1" t="s">
        <v>117</v>
      </c>
      <c r="L128" s="1">
        <v>9</v>
      </c>
      <c r="M128" s="1">
        <v>0.137493333333333</v>
      </c>
      <c r="N128" s="1">
        <v>1.4100316225354601</v>
      </c>
      <c r="O128" s="1">
        <f t="shared" si="3"/>
        <v>-0.56018238095238093</v>
      </c>
      <c r="P128" s="1">
        <f t="shared" si="4"/>
        <v>-0.83851761904761912</v>
      </c>
      <c r="Q128" s="1">
        <f t="shared" si="5"/>
        <v>1</v>
      </c>
    </row>
    <row r="129" spans="1:17" s="1" customFormat="1" x14ac:dyDescent="0.2">
      <c r="A129" s="1" t="s">
        <v>301</v>
      </c>
      <c r="B129" s="1">
        <v>3</v>
      </c>
      <c r="C129" s="1">
        <v>-0.186813333333333</v>
      </c>
      <c r="D129" s="1">
        <v>0.91815305675760395</v>
      </c>
      <c r="E129" s="1" t="s">
        <v>60</v>
      </c>
      <c r="F129" s="1" t="s">
        <v>25</v>
      </c>
      <c r="G129" s="1" t="s">
        <v>62</v>
      </c>
      <c r="H129" s="1">
        <v>10</v>
      </c>
      <c r="I129" s="1">
        <v>-0.77134100000000005</v>
      </c>
      <c r="J129" s="1">
        <v>0.73984927907198295</v>
      </c>
      <c r="K129" s="1" t="s">
        <v>26</v>
      </c>
      <c r="L129" s="1">
        <v>12</v>
      </c>
      <c r="M129" s="1">
        <v>1.4098866666666601</v>
      </c>
      <c r="N129" s="1">
        <v>2.4071265767048402</v>
      </c>
      <c r="O129" s="1">
        <f t="shared" si="3"/>
        <v>0.63854566666666002</v>
      </c>
      <c r="P129" s="1">
        <f t="shared" si="4"/>
        <v>-0.82535899999999307</v>
      </c>
      <c r="Q129" s="1">
        <f t="shared" si="5"/>
        <v>1</v>
      </c>
    </row>
    <row r="130" spans="1:17" s="1" customFormat="1" x14ac:dyDescent="0.2">
      <c r="A130" s="1" t="s">
        <v>212</v>
      </c>
      <c r="B130" s="1">
        <v>3</v>
      </c>
      <c r="C130" s="1">
        <v>-1.00939333333333</v>
      </c>
      <c r="D130" s="1">
        <v>0.55645598391367201</v>
      </c>
      <c r="E130" s="1" t="s">
        <v>55</v>
      </c>
      <c r="F130" s="1" t="s">
        <v>111</v>
      </c>
      <c r="G130" s="1" t="s">
        <v>56</v>
      </c>
      <c r="H130" s="1">
        <v>10</v>
      </c>
      <c r="I130" s="1">
        <v>0.388548</v>
      </c>
      <c r="J130" s="1">
        <v>0.94956471628729799</v>
      </c>
      <c r="K130" s="1" t="s">
        <v>112</v>
      </c>
      <c r="L130" s="1">
        <v>8</v>
      </c>
      <c r="M130" s="1">
        <v>-0.57354125</v>
      </c>
      <c r="N130" s="1">
        <v>1.08103701105449</v>
      </c>
      <c r="O130" s="1">
        <f t="shared" ref="O130:O193" si="6">I130+M130</f>
        <v>-0.18499325</v>
      </c>
      <c r="P130" s="1">
        <f t="shared" ref="P130:P193" si="7">C130-O130</f>
        <v>-0.82440008333333004</v>
      </c>
      <c r="Q130" s="1">
        <f t="shared" ref="Q130:Q193" si="8">IF(OR(E130="NT",F130="NT",E130="NTC",F130="NTC"),0,1)</f>
        <v>1</v>
      </c>
    </row>
    <row r="131" spans="1:17" s="1" customFormat="1" x14ac:dyDescent="0.2">
      <c r="A131" s="1" t="s">
        <v>213</v>
      </c>
      <c r="B131" s="1">
        <v>2</v>
      </c>
      <c r="C131" s="1">
        <v>-0.39533499999999999</v>
      </c>
      <c r="D131" s="1">
        <v>1.6989866763603501</v>
      </c>
      <c r="E131" s="1" t="s">
        <v>79</v>
      </c>
      <c r="F131" s="1" t="s">
        <v>170</v>
      </c>
      <c r="G131" s="1" t="s">
        <v>80</v>
      </c>
      <c r="H131" s="1">
        <v>9</v>
      </c>
      <c r="I131" s="1">
        <v>1.3406211111111099</v>
      </c>
      <c r="J131" s="1">
        <v>0.51772118839304904</v>
      </c>
      <c r="K131" s="1" t="s">
        <v>171</v>
      </c>
      <c r="L131" s="1">
        <v>12</v>
      </c>
      <c r="M131" s="1">
        <v>-0.91476500000000005</v>
      </c>
      <c r="N131" s="1">
        <v>1.14711629868117</v>
      </c>
      <c r="O131" s="1">
        <f t="shared" si="6"/>
        <v>0.42585611111110988</v>
      </c>
      <c r="P131" s="1">
        <f t="shared" si="7"/>
        <v>-0.82119111111110987</v>
      </c>
      <c r="Q131" s="1">
        <f t="shared" si="8"/>
        <v>1</v>
      </c>
    </row>
    <row r="132" spans="1:17" s="1" customFormat="1" x14ac:dyDescent="0.2">
      <c r="A132" s="1" t="s">
        <v>214</v>
      </c>
      <c r="B132" s="1">
        <v>2</v>
      </c>
      <c r="C132" s="1">
        <v>0.98558000000000001</v>
      </c>
      <c r="D132" s="1">
        <v>0.199573817922091</v>
      </c>
      <c r="E132" s="1" t="s">
        <v>50</v>
      </c>
      <c r="F132" s="1" t="s">
        <v>140</v>
      </c>
      <c r="G132" s="1" t="s">
        <v>52</v>
      </c>
      <c r="H132" s="1">
        <v>9</v>
      </c>
      <c r="I132" s="1">
        <v>1.6130088888888801</v>
      </c>
      <c r="J132" s="1">
        <v>1.1447563417322</v>
      </c>
      <c r="K132" s="1" t="s">
        <v>141</v>
      </c>
      <c r="L132" s="1">
        <v>8</v>
      </c>
      <c r="M132" s="1">
        <v>0.172484999999999</v>
      </c>
      <c r="N132" s="1">
        <v>1.0826691051549999</v>
      </c>
      <c r="O132" s="1">
        <f t="shared" si="6"/>
        <v>1.7854938888888792</v>
      </c>
      <c r="P132" s="1">
        <f t="shared" si="7"/>
        <v>-0.79991388888887915</v>
      </c>
      <c r="Q132" s="1">
        <f t="shared" si="8"/>
        <v>1</v>
      </c>
    </row>
    <row r="133" spans="1:17" s="1" customFormat="1" x14ac:dyDescent="0.2">
      <c r="A133" s="1" t="s">
        <v>215</v>
      </c>
      <c r="B133" s="1">
        <v>3</v>
      </c>
      <c r="C133" s="1">
        <v>0.40835666666666598</v>
      </c>
      <c r="D133" s="1">
        <v>1.0450221924118801</v>
      </c>
      <c r="E133" s="1" t="s">
        <v>82</v>
      </c>
      <c r="F133" s="1" t="s">
        <v>140</v>
      </c>
      <c r="G133" s="1" t="s">
        <v>83</v>
      </c>
      <c r="H133" s="1">
        <v>5</v>
      </c>
      <c r="I133" s="1">
        <v>1.033558</v>
      </c>
      <c r="J133" s="1">
        <v>1.29359803757581</v>
      </c>
      <c r="K133" s="1" t="s">
        <v>141</v>
      </c>
      <c r="L133" s="1">
        <v>8</v>
      </c>
      <c r="M133" s="1">
        <v>0.172484999999999</v>
      </c>
      <c r="N133" s="1">
        <v>1.0826691051549999</v>
      </c>
      <c r="O133" s="1">
        <f t="shared" si="6"/>
        <v>1.2060429999999989</v>
      </c>
      <c r="P133" s="1">
        <f t="shared" si="7"/>
        <v>-0.79768633333333283</v>
      </c>
      <c r="Q133" s="1">
        <f t="shared" si="8"/>
        <v>1</v>
      </c>
    </row>
    <row r="134" spans="1:17" s="1" customFormat="1" x14ac:dyDescent="0.2">
      <c r="A134" s="1" t="s">
        <v>216</v>
      </c>
      <c r="B134" s="1">
        <v>5</v>
      </c>
      <c r="C134" s="1">
        <v>-0.19397</v>
      </c>
      <c r="D134" s="1">
        <v>1.2443060385612501</v>
      </c>
      <c r="E134" s="1" t="s">
        <v>93</v>
      </c>
      <c r="F134" s="1" t="s">
        <v>140</v>
      </c>
      <c r="G134" s="1" t="s">
        <v>94</v>
      </c>
      <c r="H134" s="1">
        <v>6</v>
      </c>
      <c r="I134" s="1">
        <v>0.42126999999999998</v>
      </c>
      <c r="J134" s="1">
        <v>0.93603800183539498</v>
      </c>
      <c r="K134" s="1" t="s">
        <v>141</v>
      </c>
      <c r="L134" s="1">
        <v>8</v>
      </c>
      <c r="M134" s="1">
        <v>0.172484999999999</v>
      </c>
      <c r="N134" s="1">
        <v>1.0826691051549999</v>
      </c>
      <c r="O134" s="1">
        <f t="shared" si="6"/>
        <v>0.59375499999999892</v>
      </c>
      <c r="P134" s="1">
        <f t="shared" si="7"/>
        <v>-0.7877249999999989</v>
      </c>
      <c r="Q134" s="1">
        <f t="shared" si="8"/>
        <v>1</v>
      </c>
    </row>
    <row r="135" spans="1:17" s="1" customFormat="1" x14ac:dyDescent="0.2">
      <c r="A135" s="1" t="s">
        <v>217</v>
      </c>
      <c r="B135" s="1">
        <v>2</v>
      </c>
      <c r="C135" s="1">
        <v>0.73370000000000002</v>
      </c>
      <c r="D135" s="1">
        <v>0.21701107114615101</v>
      </c>
      <c r="E135" s="1" t="s">
        <v>30</v>
      </c>
      <c r="F135" s="1" t="s">
        <v>140</v>
      </c>
      <c r="G135" s="1" t="s">
        <v>32</v>
      </c>
      <c r="H135" s="1">
        <v>4</v>
      </c>
      <c r="I135" s="1">
        <v>1.3223024999999999</v>
      </c>
      <c r="J135" s="1">
        <v>0.83827518044991201</v>
      </c>
      <c r="K135" s="1" t="s">
        <v>141</v>
      </c>
      <c r="L135" s="1">
        <v>8</v>
      </c>
      <c r="M135" s="1">
        <v>0.172484999999999</v>
      </c>
      <c r="N135" s="1">
        <v>1.0826691051549999</v>
      </c>
      <c r="O135" s="1">
        <f t="shared" si="6"/>
        <v>1.4947874999999988</v>
      </c>
      <c r="P135" s="1">
        <f t="shared" si="7"/>
        <v>-0.76108749999999881</v>
      </c>
      <c r="Q135" s="1">
        <f t="shared" si="8"/>
        <v>1</v>
      </c>
    </row>
    <row r="136" spans="1:17" s="1" customFormat="1" x14ac:dyDescent="0.2">
      <c r="A136" s="1" t="s">
        <v>218</v>
      </c>
      <c r="B136" s="1">
        <v>6</v>
      </c>
      <c r="C136" s="1">
        <v>-0.90319499999999997</v>
      </c>
      <c r="D136" s="1">
        <v>1.0563426606125399</v>
      </c>
      <c r="E136" s="1" t="s">
        <v>93</v>
      </c>
      <c r="F136" s="1" t="s">
        <v>111</v>
      </c>
      <c r="G136" s="1" t="s">
        <v>94</v>
      </c>
      <c r="H136" s="1">
        <v>6</v>
      </c>
      <c r="I136" s="1">
        <v>0.42126999999999998</v>
      </c>
      <c r="J136" s="1">
        <v>0.93603800183539498</v>
      </c>
      <c r="K136" s="1" t="s">
        <v>112</v>
      </c>
      <c r="L136" s="1">
        <v>8</v>
      </c>
      <c r="M136" s="1">
        <v>-0.57354125</v>
      </c>
      <c r="N136" s="1">
        <v>1.08103701105449</v>
      </c>
      <c r="O136" s="1">
        <f t="shared" si="6"/>
        <v>-0.15227125000000002</v>
      </c>
      <c r="P136" s="1">
        <f t="shared" si="7"/>
        <v>-0.75092374999999989</v>
      </c>
      <c r="Q136" s="1">
        <f t="shared" si="8"/>
        <v>1</v>
      </c>
    </row>
    <row r="137" spans="1:17" s="1" customFormat="1" x14ac:dyDescent="0.2">
      <c r="A137" s="1" t="s">
        <v>219</v>
      </c>
      <c r="B137" s="1">
        <v>2</v>
      </c>
      <c r="C137" s="1">
        <v>-0.880915</v>
      </c>
      <c r="D137" s="1">
        <v>0.20843386589035801</v>
      </c>
      <c r="E137" s="1" t="s">
        <v>103</v>
      </c>
      <c r="F137" s="1" t="s">
        <v>66</v>
      </c>
      <c r="G137" s="1" t="s">
        <v>104</v>
      </c>
      <c r="H137" s="1">
        <v>9</v>
      </c>
      <c r="I137" s="1">
        <v>-0.102438888888888</v>
      </c>
      <c r="J137" s="1">
        <v>1.10975557567245</v>
      </c>
      <c r="K137" s="1" t="s">
        <v>67</v>
      </c>
      <c r="L137" s="1">
        <v>7</v>
      </c>
      <c r="M137" s="1">
        <v>-3.6201428571428503E-2</v>
      </c>
      <c r="N137" s="1">
        <v>1.14054237817552</v>
      </c>
      <c r="O137" s="1">
        <f t="shared" si="6"/>
        <v>-0.13864031746031649</v>
      </c>
      <c r="P137" s="1">
        <f t="shared" si="7"/>
        <v>-0.74227468253968354</v>
      </c>
      <c r="Q137" s="1">
        <f t="shared" si="8"/>
        <v>1</v>
      </c>
    </row>
    <row r="138" spans="1:17" s="1" customFormat="1" x14ac:dyDescent="0.2">
      <c r="A138" s="1" t="s">
        <v>220</v>
      </c>
      <c r="B138" s="1">
        <v>2</v>
      </c>
      <c r="C138" s="1">
        <v>1.1150500000000001</v>
      </c>
      <c r="D138" s="1">
        <v>0.147007499808683</v>
      </c>
      <c r="E138" s="1" t="s">
        <v>114</v>
      </c>
      <c r="F138" s="1" t="s">
        <v>140</v>
      </c>
      <c r="G138" s="1" t="s">
        <v>116</v>
      </c>
      <c r="H138" s="1">
        <v>11</v>
      </c>
      <c r="I138" s="1">
        <v>1.68324272727272</v>
      </c>
      <c r="J138" s="1">
        <v>1.46712339504276</v>
      </c>
      <c r="K138" s="1" t="s">
        <v>141</v>
      </c>
      <c r="L138" s="1">
        <v>8</v>
      </c>
      <c r="M138" s="1">
        <v>0.172484999999999</v>
      </c>
      <c r="N138" s="1">
        <v>1.0826691051549999</v>
      </c>
      <c r="O138" s="1">
        <f t="shared" si="6"/>
        <v>1.8557277272727188</v>
      </c>
      <c r="P138" s="1">
        <f t="shared" si="7"/>
        <v>-0.74067772727271874</v>
      </c>
      <c r="Q138" s="1">
        <f t="shared" si="8"/>
        <v>1</v>
      </c>
    </row>
    <row r="139" spans="1:17" s="1" customFormat="1" x14ac:dyDescent="0.2">
      <c r="A139" s="1" t="s">
        <v>123</v>
      </c>
      <c r="B139" s="1">
        <v>1</v>
      </c>
      <c r="C139" s="1">
        <v>-0.87634000000000001</v>
      </c>
      <c r="E139" s="1" t="s">
        <v>99</v>
      </c>
      <c r="F139" s="1" t="s">
        <v>28</v>
      </c>
      <c r="G139" s="1" t="s">
        <v>100</v>
      </c>
      <c r="H139" s="1">
        <v>9</v>
      </c>
      <c r="I139" s="1">
        <v>-8.8165555555555497E-2</v>
      </c>
      <c r="J139" s="1">
        <v>1.19505751278035</v>
      </c>
      <c r="K139" s="1" t="s">
        <v>58</v>
      </c>
      <c r="L139" s="1">
        <v>13</v>
      </c>
      <c r="M139" s="1">
        <v>-5.0181538461538402E-2</v>
      </c>
      <c r="N139" s="1">
        <v>1.17547401340796</v>
      </c>
      <c r="O139" s="1">
        <f t="shared" si="6"/>
        <v>-0.13834709401709389</v>
      </c>
      <c r="P139" s="1">
        <f t="shared" si="7"/>
        <v>-0.73799290598290612</v>
      </c>
      <c r="Q139" s="1">
        <f t="shared" si="8"/>
        <v>1</v>
      </c>
    </row>
    <row r="140" spans="1:17" s="1" customFormat="1" x14ac:dyDescent="0.2">
      <c r="A140" s="1" t="s">
        <v>221</v>
      </c>
      <c r="B140" s="1">
        <v>2</v>
      </c>
      <c r="C140" s="1">
        <v>-1.3363350000000001</v>
      </c>
      <c r="D140" s="1">
        <v>0.96911105681959797</v>
      </c>
      <c r="E140" s="1" t="s">
        <v>60</v>
      </c>
      <c r="F140" s="1" t="s">
        <v>140</v>
      </c>
      <c r="G140" s="1" t="s">
        <v>62</v>
      </c>
      <c r="H140" s="1">
        <v>10</v>
      </c>
      <c r="I140" s="1">
        <v>-0.77134100000000005</v>
      </c>
      <c r="J140" s="1">
        <v>0.73984927907198295</v>
      </c>
      <c r="K140" s="1" t="s">
        <v>141</v>
      </c>
      <c r="L140" s="1">
        <v>8</v>
      </c>
      <c r="M140" s="1">
        <v>0.172484999999999</v>
      </c>
      <c r="N140" s="1">
        <v>1.0826691051549999</v>
      </c>
      <c r="O140" s="1">
        <f t="shared" si="6"/>
        <v>-0.59885600000000105</v>
      </c>
      <c r="P140" s="1">
        <f t="shared" si="7"/>
        <v>-0.737478999999999</v>
      </c>
      <c r="Q140" s="1">
        <f t="shared" si="8"/>
        <v>1</v>
      </c>
    </row>
    <row r="141" spans="1:17" s="1" customFormat="1" x14ac:dyDescent="0.2">
      <c r="A141" s="1" t="s">
        <v>222</v>
      </c>
      <c r="B141" s="1">
        <v>3</v>
      </c>
      <c r="C141" s="1">
        <v>0.33062666666666601</v>
      </c>
      <c r="D141" s="1">
        <v>0.97538908284506298</v>
      </c>
      <c r="E141" s="1" t="s">
        <v>85</v>
      </c>
      <c r="F141" s="1" t="s">
        <v>140</v>
      </c>
      <c r="G141" s="1" t="s">
        <v>86</v>
      </c>
      <c r="H141" s="1">
        <v>11</v>
      </c>
      <c r="I141" s="1">
        <v>0.89274545454545395</v>
      </c>
      <c r="J141" s="1">
        <v>0.61421292855757503</v>
      </c>
      <c r="K141" s="1" t="s">
        <v>141</v>
      </c>
      <c r="L141" s="1">
        <v>8</v>
      </c>
      <c r="M141" s="1">
        <v>0.172484999999999</v>
      </c>
      <c r="N141" s="1">
        <v>1.0826691051549999</v>
      </c>
      <c r="O141" s="1">
        <f t="shared" si="6"/>
        <v>1.065230454545453</v>
      </c>
      <c r="P141" s="1">
        <f t="shared" si="7"/>
        <v>-0.734603787878787</v>
      </c>
      <c r="Q141" s="1">
        <f t="shared" si="8"/>
        <v>1</v>
      </c>
    </row>
    <row r="142" spans="1:17" s="1" customFormat="1" x14ac:dyDescent="0.2">
      <c r="A142" s="1" t="s">
        <v>223</v>
      </c>
      <c r="B142" s="1">
        <v>2</v>
      </c>
      <c r="C142" s="1">
        <v>1.3953500000000001</v>
      </c>
      <c r="D142" s="1">
        <v>7.1347074221722706E-2</v>
      </c>
      <c r="E142" s="1" t="s">
        <v>114</v>
      </c>
      <c r="F142" s="1" t="s">
        <v>70</v>
      </c>
      <c r="G142" s="1" t="s">
        <v>116</v>
      </c>
      <c r="H142" s="1">
        <v>11</v>
      </c>
      <c r="I142" s="1">
        <v>1.68324272727272</v>
      </c>
      <c r="J142" s="1">
        <v>1.46712339504276</v>
      </c>
      <c r="K142" s="1" t="s">
        <v>71</v>
      </c>
      <c r="L142" s="1">
        <v>9</v>
      </c>
      <c r="M142" s="1">
        <v>0.436627777777777</v>
      </c>
      <c r="N142" s="1">
        <v>1.6967771336844499</v>
      </c>
      <c r="O142" s="1">
        <f t="shared" si="6"/>
        <v>2.1198705050504971</v>
      </c>
      <c r="P142" s="1">
        <f t="shared" si="7"/>
        <v>-0.72452050505049703</v>
      </c>
      <c r="Q142" s="1">
        <f t="shared" si="8"/>
        <v>1</v>
      </c>
    </row>
    <row r="143" spans="1:17" s="1" customFormat="1" x14ac:dyDescent="0.2">
      <c r="A143" s="1" t="s">
        <v>204</v>
      </c>
      <c r="B143" s="1">
        <v>3</v>
      </c>
      <c r="C143" s="1">
        <v>1.4415433333333301</v>
      </c>
      <c r="D143" s="1">
        <v>0.78186280742425196</v>
      </c>
      <c r="E143" s="1" t="s">
        <v>82</v>
      </c>
      <c r="F143" s="1" t="s">
        <v>31</v>
      </c>
      <c r="G143" s="1" t="s">
        <v>83</v>
      </c>
      <c r="H143" s="1">
        <v>5</v>
      </c>
      <c r="I143" s="1">
        <v>1.033558</v>
      </c>
      <c r="J143" s="1">
        <v>1.29359803757581</v>
      </c>
      <c r="K143" s="1" t="s">
        <v>33</v>
      </c>
      <c r="L143" s="1">
        <v>13</v>
      </c>
      <c r="M143" s="1">
        <v>1.12689461538461</v>
      </c>
      <c r="N143" s="1">
        <v>2.6514113909218699</v>
      </c>
      <c r="O143" s="1">
        <f t="shared" si="6"/>
        <v>2.1604526153846102</v>
      </c>
      <c r="P143" s="1">
        <f t="shared" si="7"/>
        <v>-0.71890928205128013</v>
      </c>
      <c r="Q143" s="1">
        <f t="shared" si="8"/>
        <v>1</v>
      </c>
    </row>
    <row r="144" spans="1:17" s="1" customFormat="1" x14ac:dyDescent="0.2">
      <c r="A144" s="1" t="s">
        <v>225</v>
      </c>
      <c r="B144" s="1">
        <v>1</v>
      </c>
      <c r="C144" s="1">
        <v>0.59362999999999999</v>
      </c>
      <c r="E144" s="1" t="s">
        <v>79</v>
      </c>
      <c r="F144" s="1" t="s">
        <v>66</v>
      </c>
      <c r="G144" s="1" t="s">
        <v>80</v>
      </c>
      <c r="H144" s="1">
        <v>9</v>
      </c>
      <c r="I144" s="1">
        <v>1.3406211111111099</v>
      </c>
      <c r="J144" s="1">
        <v>0.51772118839304904</v>
      </c>
      <c r="K144" s="1" t="s">
        <v>67</v>
      </c>
      <c r="L144" s="1">
        <v>7</v>
      </c>
      <c r="M144" s="1">
        <v>-3.6201428571428503E-2</v>
      </c>
      <c r="N144" s="1">
        <v>1.14054237817552</v>
      </c>
      <c r="O144" s="1">
        <f t="shared" si="6"/>
        <v>1.3044196825396814</v>
      </c>
      <c r="P144" s="1">
        <f t="shared" si="7"/>
        <v>-0.71078968253968144</v>
      </c>
      <c r="Q144" s="1">
        <f t="shared" si="8"/>
        <v>1</v>
      </c>
    </row>
    <row r="145" spans="1:17" s="1" customFormat="1" x14ac:dyDescent="0.2">
      <c r="A145" s="1" t="s">
        <v>226</v>
      </c>
      <c r="B145" s="1">
        <v>2</v>
      </c>
      <c r="C145" s="1">
        <v>1.47705</v>
      </c>
      <c r="D145" s="1">
        <v>0.582019591594647</v>
      </c>
      <c r="E145" s="1" t="s">
        <v>127</v>
      </c>
      <c r="F145" s="1" t="s">
        <v>51</v>
      </c>
      <c r="G145" s="1" t="s">
        <v>128</v>
      </c>
      <c r="H145" s="1">
        <v>10</v>
      </c>
      <c r="I145" s="1">
        <v>1.880876</v>
      </c>
      <c r="J145" s="1">
        <v>1.92300027836249</v>
      </c>
      <c r="K145" s="1" t="s">
        <v>29</v>
      </c>
      <c r="L145" s="1">
        <v>11</v>
      </c>
      <c r="M145" s="1">
        <v>0.28300999999999998</v>
      </c>
      <c r="N145" s="1">
        <v>1.4668923681374799</v>
      </c>
      <c r="O145" s="1">
        <f t="shared" si="6"/>
        <v>2.1638859999999998</v>
      </c>
      <c r="P145" s="1">
        <f t="shared" si="7"/>
        <v>-0.68683599999999978</v>
      </c>
      <c r="Q145" s="1">
        <f t="shared" si="8"/>
        <v>1</v>
      </c>
    </row>
    <row r="146" spans="1:17" s="1" customFormat="1" x14ac:dyDescent="0.2">
      <c r="A146" s="1" t="s">
        <v>227</v>
      </c>
      <c r="B146" s="1">
        <v>1</v>
      </c>
      <c r="C146" s="1">
        <v>0.64556000000000002</v>
      </c>
      <c r="E146" s="1" t="s">
        <v>85</v>
      </c>
      <c r="F146" s="1" t="s">
        <v>70</v>
      </c>
      <c r="G146" s="1" t="s">
        <v>86</v>
      </c>
      <c r="H146" s="1">
        <v>11</v>
      </c>
      <c r="I146" s="1">
        <v>0.89274545454545395</v>
      </c>
      <c r="J146" s="1">
        <v>0.61421292855757503</v>
      </c>
      <c r="K146" s="1" t="s">
        <v>71</v>
      </c>
      <c r="L146" s="1">
        <v>9</v>
      </c>
      <c r="M146" s="1">
        <v>0.436627777777777</v>
      </c>
      <c r="N146" s="1">
        <v>1.6967771336844499</v>
      </c>
      <c r="O146" s="1">
        <f t="shared" si="6"/>
        <v>1.329373232323231</v>
      </c>
      <c r="P146" s="1">
        <f t="shared" si="7"/>
        <v>-0.68381323232323099</v>
      </c>
      <c r="Q146" s="1">
        <f t="shared" si="8"/>
        <v>1</v>
      </c>
    </row>
    <row r="147" spans="1:17" s="1" customFormat="1" x14ac:dyDescent="0.2">
      <c r="A147" s="1" t="s">
        <v>228</v>
      </c>
      <c r="B147" s="1">
        <v>2</v>
      </c>
      <c r="C147" s="1">
        <v>1.3884799999999999</v>
      </c>
      <c r="D147" s="1">
        <v>0.93029796560026901</v>
      </c>
      <c r="E147" s="1" t="s">
        <v>50</v>
      </c>
      <c r="F147" s="1" t="s">
        <v>70</v>
      </c>
      <c r="G147" s="1" t="s">
        <v>52</v>
      </c>
      <c r="H147" s="1">
        <v>9</v>
      </c>
      <c r="I147" s="1">
        <v>1.6130088888888801</v>
      </c>
      <c r="J147" s="1">
        <v>1.1447563417322</v>
      </c>
      <c r="K147" s="1" t="s">
        <v>71</v>
      </c>
      <c r="L147" s="1">
        <v>9</v>
      </c>
      <c r="M147" s="1">
        <v>0.436627777777777</v>
      </c>
      <c r="N147" s="1">
        <v>1.6967771336844499</v>
      </c>
      <c r="O147" s="1">
        <f t="shared" si="6"/>
        <v>2.049636666666657</v>
      </c>
      <c r="P147" s="1">
        <f t="shared" si="7"/>
        <v>-0.66115666666665707</v>
      </c>
      <c r="Q147" s="1">
        <f t="shared" si="8"/>
        <v>1</v>
      </c>
    </row>
    <row r="148" spans="1:17" s="1" customFormat="1" x14ac:dyDescent="0.2">
      <c r="A148" s="1" t="s">
        <v>229</v>
      </c>
      <c r="B148" s="1">
        <v>1</v>
      </c>
      <c r="C148" s="1">
        <v>-1.7230000000000001</v>
      </c>
      <c r="E148" s="1" t="s">
        <v>76</v>
      </c>
      <c r="F148" s="1" t="s">
        <v>41</v>
      </c>
      <c r="G148" s="1" t="s">
        <v>77</v>
      </c>
      <c r="H148" s="1">
        <v>7</v>
      </c>
      <c r="I148" s="1">
        <v>-0.69767571428571395</v>
      </c>
      <c r="J148" s="1">
        <v>1.37870291931531</v>
      </c>
      <c r="K148" s="1" t="s">
        <v>42</v>
      </c>
      <c r="L148" s="1">
        <v>8</v>
      </c>
      <c r="M148" s="1">
        <v>-0.36432874999999998</v>
      </c>
      <c r="N148" s="1">
        <v>1.09705879965397</v>
      </c>
      <c r="O148" s="1">
        <f t="shared" si="6"/>
        <v>-1.0620044642857138</v>
      </c>
      <c r="P148" s="1">
        <f t="shared" si="7"/>
        <v>-0.66099553571428626</v>
      </c>
      <c r="Q148" s="1">
        <f t="shared" si="8"/>
        <v>1</v>
      </c>
    </row>
    <row r="149" spans="1:17" s="1" customFormat="1" x14ac:dyDescent="0.2">
      <c r="A149" s="1" t="s">
        <v>230</v>
      </c>
      <c r="B149" s="1">
        <v>2</v>
      </c>
      <c r="C149" s="1">
        <v>-0.46102500000000002</v>
      </c>
      <c r="D149" s="1">
        <v>1.3717518001628399</v>
      </c>
      <c r="E149" s="1" t="s">
        <v>99</v>
      </c>
      <c r="F149" s="1" t="s">
        <v>51</v>
      </c>
      <c r="G149" s="1" t="s">
        <v>100</v>
      </c>
      <c r="H149" s="1">
        <v>9</v>
      </c>
      <c r="I149" s="1">
        <v>-8.8165555555555497E-2</v>
      </c>
      <c r="J149" s="1">
        <v>1.19505751278035</v>
      </c>
      <c r="K149" s="1" t="s">
        <v>29</v>
      </c>
      <c r="L149" s="1">
        <v>11</v>
      </c>
      <c r="M149" s="1">
        <v>0.28300999999999998</v>
      </c>
      <c r="N149" s="1">
        <v>1.4668923681374799</v>
      </c>
      <c r="O149" s="1">
        <f t="shared" si="6"/>
        <v>0.19484444444444449</v>
      </c>
      <c r="P149" s="1">
        <f t="shared" si="7"/>
        <v>-0.6558694444444445</v>
      </c>
      <c r="Q149" s="1">
        <f t="shared" si="8"/>
        <v>1</v>
      </c>
    </row>
    <row r="150" spans="1:17" s="1" customFormat="1" x14ac:dyDescent="0.2">
      <c r="A150" s="1" t="s">
        <v>231</v>
      </c>
      <c r="B150" s="1">
        <v>3</v>
      </c>
      <c r="C150" s="1">
        <v>-1.1422999999999901</v>
      </c>
      <c r="D150" s="1">
        <v>0.26759250736894702</v>
      </c>
      <c r="E150" s="1" t="s">
        <v>60</v>
      </c>
      <c r="F150" s="1" t="s">
        <v>51</v>
      </c>
      <c r="G150" s="1" t="s">
        <v>62</v>
      </c>
      <c r="H150" s="1">
        <v>10</v>
      </c>
      <c r="I150" s="1">
        <v>-0.77134100000000005</v>
      </c>
      <c r="J150" s="1">
        <v>0.73984927907198295</v>
      </c>
      <c r="K150" s="1" t="s">
        <v>29</v>
      </c>
      <c r="L150" s="1">
        <v>11</v>
      </c>
      <c r="M150" s="1">
        <v>0.28300999999999998</v>
      </c>
      <c r="N150" s="1">
        <v>1.4668923681374799</v>
      </c>
      <c r="O150" s="1">
        <f t="shared" si="6"/>
        <v>-0.48833100000000007</v>
      </c>
      <c r="P150" s="1">
        <f t="shared" si="7"/>
        <v>-0.65396899999999003</v>
      </c>
      <c r="Q150" s="1">
        <f t="shared" si="8"/>
        <v>1</v>
      </c>
    </row>
    <row r="151" spans="1:17" s="1" customFormat="1" x14ac:dyDescent="0.2">
      <c r="A151" s="1" t="s">
        <v>236</v>
      </c>
      <c r="B151" s="1">
        <v>3</v>
      </c>
      <c r="C151" s="1">
        <v>-0.71124666666666603</v>
      </c>
      <c r="D151" s="1">
        <v>1.2083970607930701</v>
      </c>
      <c r="E151" s="1" t="s">
        <v>73</v>
      </c>
      <c r="F151" s="1" t="s">
        <v>28</v>
      </c>
      <c r="G151" s="1" t="s">
        <v>74</v>
      </c>
      <c r="H151" s="1">
        <v>7</v>
      </c>
      <c r="I151" s="1">
        <v>-3.2529999999999899E-2</v>
      </c>
      <c r="J151" s="1">
        <v>1.4564495190817</v>
      </c>
      <c r="K151" s="1" t="s">
        <v>58</v>
      </c>
      <c r="L151" s="1">
        <v>13</v>
      </c>
      <c r="M151" s="1">
        <v>-5.0181538461538402E-2</v>
      </c>
      <c r="N151" s="1">
        <v>1.17547401340796</v>
      </c>
      <c r="O151" s="1">
        <f t="shared" si="6"/>
        <v>-8.2711538461538309E-2</v>
      </c>
      <c r="P151" s="1">
        <f t="shared" si="7"/>
        <v>-0.62853512820512769</v>
      </c>
      <c r="Q151" s="1">
        <f t="shared" si="8"/>
        <v>1</v>
      </c>
    </row>
    <row r="152" spans="1:17" s="1" customFormat="1" x14ac:dyDescent="0.2">
      <c r="A152" s="1" t="s">
        <v>233</v>
      </c>
      <c r="B152" s="1">
        <v>6</v>
      </c>
      <c r="C152" s="1">
        <v>-0.47895333333333301</v>
      </c>
      <c r="D152" s="1">
        <v>0.84787864796011103</v>
      </c>
      <c r="E152" s="1" t="s">
        <v>89</v>
      </c>
      <c r="F152" s="1" t="s">
        <v>111</v>
      </c>
      <c r="G152" s="1" t="s">
        <v>90</v>
      </c>
      <c r="H152" s="1">
        <v>10</v>
      </c>
      <c r="I152" s="1">
        <v>0.71304500000000004</v>
      </c>
      <c r="J152" s="1">
        <v>1.2054066597188</v>
      </c>
      <c r="K152" s="1" t="s">
        <v>112</v>
      </c>
      <c r="L152" s="1">
        <v>8</v>
      </c>
      <c r="M152" s="1">
        <v>-0.57354125</v>
      </c>
      <c r="N152" s="1">
        <v>1.08103701105449</v>
      </c>
      <c r="O152" s="1">
        <f t="shared" si="6"/>
        <v>0.13950375000000004</v>
      </c>
      <c r="P152" s="1">
        <f t="shared" si="7"/>
        <v>-0.61845708333333305</v>
      </c>
      <c r="Q152" s="1">
        <f t="shared" si="8"/>
        <v>1</v>
      </c>
    </row>
    <row r="153" spans="1:17" s="1" customFormat="1" x14ac:dyDescent="0.2">
      <c r="A153" s="1" t="s">
        <v>234</v>
      </c>
      <c r="B153" s="1">
        <v>3</v>
      </c>
      <c r="C153" s="1">
        <v>1.5534399999999999</v>
      </c>
      <c r="D153" s="1">
        <v>0.89727890134561805</v>
      </c>
      <c r="E153" s="1" t="s">
        <v>85</v>
      </c>
      <c r="F153" s="1" t="s">
        <v>44</v>
      </c>
      <c r="G153" s="1" t="s">
        <v>86</v>
      </c>
      <c r="H153" s="1">
        <v>11</v>
      </c>
      <c r="I153" s="1">
        <v>0.89274545454545395</v>
      </c>
      <c r="J153" s="1">
        <v>0.61421292855757503</v>
      </c>
      <c r="K153" s="1" t="s">
        <v>45</v>
      </c>
      <c r="L153" s="1">
        <v>9</v>
      </c>
      <c r="M153" s="1">
        <v>1.2713288888888801</v>
      </c>
      <c r="N153" s="1">
        <v>2.2624284591641999</v>
      </c>
      <c r="O153" s="1">
        <f t="shared" si="6"/>
        <v>2.1640743434343341</v>
      </c>
      <c r="P153" s="1">
        <f t="shared" si="7"/>
        <v>-0.6106343434343342</v>
      </c>
      <c r="Q153" s="1">
        <f t="shared" si="8"/>
        <v>1</v>
      </c>
    </row>
    <row r="154" spans="1:17" s="1" customFormat="1" x14ac:dyDescent="0.2">
      <c r="A154" s="1" t="s">
        <v>235</v>
      </c>
      <c r="B154" s="1">
        <v>3</v>
      </c>
      <c r="C154" s="1">
        <v>1.1803666666666599</v>
      </c>
      <c r="D154" s="1">
        <v>9.0793024695365904E-2</v>
      </c>
      <c r="E154" s="1" t="s">
        <v>30</v>
      </c>
      <c r="F154" s="1" t="s">
        <v>70</v>
      </c>
      <c r="G154" s="1" t="s">
        <v>32</v>
      </c>
      <c r="H154" s="1">
        <v>4</v>
      </c>
      <c r="I154" s="1">
        <v>1.3223024999999999</v>
      </c>
      <c r="J154" s="1">
        <v>0.83827518044991201</v>
      </c>
      <c r="K154" s="1" t="s">
        <v>71</v>
      </c>
      <c r="L154" s="1">
        <v>9</v>
      </c>
      <c r="M154" s="1">
        <v>0.436627777777777</v>
      </c>
      <c r="N154" s="1">
        <v>1.6967771336844499</v>
      </c>
      <c r="O154" s="1">
        <f t="shared" si="6"/>
        <v>1.7589302777777769</v>
      </c>
      <c r="P154" s="1">
        <f t="shared" si="7"/>
        <v>-0.57856361111111698</v>
      </c>
      <c r="Q154" s="1">
        <f t="shared" si="8"/>
        <v>1</v>
      </c>
    </row>
    <row r="155" spans="1:17" s="1" customFormat="1" x14ac:dyDescent="0.2">
      <c r="A155" s="1" t="s">
        <v>261</v>
      </c>
      <c r="B155" s="1">
        <v>3</v>
      </c>
      <c r="C155" s="1">
        <v>0.51636666666666597</v>
      </c>
      <c r="D155" s="1">
        <v>1.94181449766277</v>
      </c>
      <c r="E155" s="1" t="s">
        <v>73</v>
      </c>
      <c r="F155" s="1" t="s">
        <v>31</v>
      </c>
      <c r="G155" s="1" t="s">
        <v>74</v>
      </c>
      <c r="H155" s="1">
        <v>7</v>
      </c>
      <c r="I155" s="1">
        <v>-3.2529999999999899E-2</v>
      </c>
      <c r="J155" s="1">
        <v>1.4564495190817</v>
      </c>
      <c r="K155" s="1" t="s">
        <v>33</v>
      </c>
      <c r="L155" s="1">
        <v>13</v>
      </c>
      <c r="M155" s="1">
        <v>1.12689461538461</v>
      </c>
      <c r="N155" s="1">
        <v>2.6514113909218699</v>
      </c>
      <c r="O155" s="1">
        <f t="shared" si="6"/>
        <v>1.0943646153846101</v>
      </c>
      <c r="P155" s="1">
        <f t="shared" si="7"/>
        <v>-0.57799794871794408</v>
      </c>
      <c r="Q155" s="1">
        <f t="shared" si="8"/>
        <v>1</v>
      </c>
    </row>
    <row r="156" spans="1:17" s="1" customFormat="1" x14ac:dyDescent="0.2">
      <c r="A156" s="1" t="s">
        <v>237</v>
      </c>
      <c r="B156" s="1">
        <v>7</v>
      </c>
      <c r="C156" s="1">
        <v>1.08494</v>
      </c>
      <c r="D156" s="1">
        <v>0.34955322079286599</v>
      </c>
      <c r="E156" s="1" t="s">
        <v>114</v>
      </c>
      <c r="F156" s="1" t="s">
        <v>66</v>
      </c>
      <c r="G156" s="1" t="s">
        <v>116</v>
      </c>
      <c r="H156" s="1">
        <v>11</v>
      </c>
      <c r="I156" s="1">
        <v>1.68324272727272</v>
      </c>
      <c r="J156" s="1">
        <v>1.46712339504276</v>
      </c>
      <c r="K156" s="1" t="s">
        <v>67</v>
      </c>
      <c r="L156" s="1">
        <v>7</v>
      </c>
      <c r="M156" s="1">
        <v>-3.6201428571428503E-2</v>
      </c>
      <c r="N156" s="1">
        <v>1.14054237817552</v>
      </c>
      <c r="O156" s="1">
        <f t="shared" si="6"/>
        <v>1.6470412987012915</v>
      </c>
      <c r="P156" s="1">
        <f t="shared" si="7"/>
        <v>-0.56210129870129144</v>
      </c>
      <c r="Q156" s="1">
        <f t="shared" si="8"/>
        <v>1</v>
      </c>
    </row>
    <row r="157" spans="1:17" s="1" customFormat="1" x14ac:dyDescent="0.2">
      <c r="A157" s="1" t="s">
        <v>238</v>
      </c>
      <c r="B157" s="1">
        <v>3</v>
      </c>
      <c r="C157" s="1">
        <v>-1.19071333333333</v>
      </c>
      <c r="D157" s="1">
        <v>0.57024382726455902</v>
      </c>
      <c r="E157" s="1" t="s">
        <v>60</v>
      </c>
      <c r="F157" s="1" t="s">
        <v>115</v>
      </c>
      <c r="G157" s="1" t="s">
        <v>62</v>
      </c>
      <c r="H157" s="1">
        <v>10</v>
      </c>
      <c r="I157" s="1">
        <v>-0.77134100000000005</v>
      </c>
      <c r="J157" s="1">
        <v>0.73984927907198295</v>
      </c>
      <c r="K157" s="1" t="s">
        <v>117</v>
      </c>
      <c r="L157" s="1">
        <v>9</v>
      </c>
      <c r="M157" s="1">
        <v>0.137493333333333</v>
      </c>
      <c r="N157" s="1">
        <v>1.4100316225354601</v>
      </c>
      <c r="O157" s="1">
        <f t="shared" si="6"/>
        <v>-0.63384766666666703</v>
      </c>
      <c r="P157" s="1">
        <f t="shared" si="7"/>
        <v>-0.55686566666666293</v>
      </c>
      <c r="Q157" s="1">
        <f t="shared" si="8"/>
        <v>1</v>
      </c>
    </row>
    <row r="158" spans="1:17" s="1" customFormat="1" x14ac:dyDescent="0.2">
      <c r="A158" s="1" t="s">
        <v>239</v>
      </c>
      <c r="B158" s="1">
        <v>4</v>
      </c>
      <c r="C158" s="1">
        <v>0.15074750000000001</v>
      </c>
      <c r="D158" s="1">
        <v>1.2142327148004399</v>
      </c>
      <c r="E158" s="1" t="s">
        <v>89</v>
      </c>
      <c r="F158" s="1" t="s">
        <v>35</v>
      </c>
      <c r="G158" s="1" t="s">
        <v>90</v>
      </c>
      <c r="H158" s="1">
        <v>10</v>
      </c>
      <c r="I158" s="1">
        <v>0.71304500000000004</v>
      </c>
      <c r="J158" s="1">
        <v>1.2054066597188</v>
      </c>
      <c r="K158" s="1" t="s">
        <v>36</v>
      </c>
      <c r="L158" s="1">
        <v>7</v>
      </c>
      <c r="M158" s="1">
        <v>-6.4271428571428804E-3</v>
      </c>
      <c r="N158" s="1">
        <v>1.10921236748896</v>
      </c>
      <c r="O158" s="1">
        <f t="shared" si="6"/>
        <v>0.70661785714285719</v>
      </c>
      <c r="P158" s="1">
        <f t="shared" si="7"/>
        <v>-0.55587035714285715</v>
      </c>
      <c r="Q158" s="1">
        <f t="shared" si="8"/>
        <v>1</v>
      </c>
    </row>
    <row r="159" spans="1:17" s="1" customFormat="1" x14ac:dyDescent="0.2">
      <c r="A159" s="1" t="s">
        <v>186</v>
      </c>
      <c r="B159" s="1">
        <v>3</v>
      </c>
      <c r="C159" s="1">
        <v>1.08019</v>
      </c>
      <c r="D159" s="1">
        <v>0.28029656490938298</v>
      </c>
      <c r="E159" s="1" t="s">
        <v>114</v>
      </c>
      <c r="F159" s="1" t="s">
        <v>28</v>
      </c>
      <c r="G159" s="1" t="s">
        <v>116</v>
      </c>
      <c r="H159" s="1">
        <v>11</v>
      </c>
      <c r="I159" s="1">
        <v>1.68324272727272</v>
      </c>
      <c r="J159" s="1">
        <v>1.46712339504276</v>
      </c>
      <c r="K159" s="1" t="s">
        <v>58</v>
      </c>
      <c r="L159" s="1">
        <v>13</v>
      </c>
      <c r="M159" s="1">
        <v>-5.0181538461538402E-2</v>
      </c>
      <c r="N159" s="1">
        <v>1.17547401340796</v>
      </c>
      <c r="O159" s="1">
        <f t="shared" si="6"/>
        <v>1.6330611888111815</v>
      </c>
      <c r="P159" s="1">
        <f t="shared" si="7"/>
        <v>-0.55287118881118147</v>
      </c>
      <c r="Q159" s="1">
        <f t="shared" si="8"/>
        <v>1</v>
      </c>
    </row>
    <row r="160" spans="1:17" s="1" customFormat="1" x14ac:dyDescent="0.2">
      <c r="A160" s="1" t="s">
        <v>57</v>
      </c>
      <c r="B160" s="1">
        <v>1</v>
      </c>
      <c r="C160" s="1">
        <v>1.6177999999999999</v>
      </c>
      <c r="E160" s="1" t="s">
        <v>38</v>
      </c>
      <c r="F160" s="1" t="s">
        <v>28</v>
      </c>
      <c r="G160" s="1" t="s">
        <v>39</v>
      </c>
      <c r="H160" s="1">
        <v>6</v>
      </c>
      <c r="I160" s="1">
        <v>2.2193033333333299</v>
      </c>
      <c r="J160" s="1">
        <v>2.10856206151648</v>
      </c>
      <c r="K160" s="1" t="s">
        <v>58</v>
      </c>
      <c r="L160" s="1">
        <v>13</v>
      </c>
      <c r="M160" s="1">
        <v>-5.0181538461538402E-2</v>
      </c>
      <c r="N160" s="1">
        <v>1.17547401340796</v>
      </c>
      <c r="O160" s="1">
        <f t="shared" si="6"/>
        <v>2.1691217948717916</v>
      </c>
      <c r="P160" s="1">
        <f t="shared" si="7"/>
        <v>-0.55132179487179167</v>
      </c>
      <c r="Q160" s="1">
        <f t="shared" si="8"/>
        <v>1</v>
      </c>
    </row>
    <row r="161" spans="1:17" s="1" customFormat="1" x14ac:dyDescent="0.2">
      <c r="A161" s="1" t="s">
        <v>242</v>
      </c>
      <c r="B161" s="1">
        <v>3</v>
      </c>
      <c r="C161" s="1">
        <v>-1.0428200000000001</v>
      </c>
      <c r="D161" s="1">
        <v>0.403190795033815</v>
      </c>
      <c r="E161" s="1" t="s">
        <v>93</v>
      </c>
      <c r="F161" s="1" t="s">
        <v>170</v>
      </c>
      <c r="G161" s="1" t="s">
        <v>94</v>
      </c>
      <c r="H161" s="1">
        <v>6</v>
      </c>
      <c r="I161" s="1">
        <v>0.42126999999999998</v>
      </c>
      <c r="J161" s="1">
        <v>0.93603800183539498</v>
      </c>
      <c r="K161" s="1" t="s">
        <v>171</v>
      </c>
      <c r="L161" s="1">
        <v>12</v>
      </c>
      <c r="M161" s="1">
        <v>-0.91476500000000005</v>
      </c>
      <c r="N161" s="1">
        <v>1.14711629868117</v>
      </c>
      <c r="O161" s="1">
        <f t="shared" si="6"/>
        <v>-0.49349500000000007</v>
      </c>
      <c r="P161" s="1">
        <f t="shared" si="7"/>
        <v>-0.54932500000000006</v>
      </c>
      <c r="Q161" s="1">
        <f t="shared" si="8"/>
        <v>1</v>
      </c>
    </row>
    <row r="162" spans="1:17" s="1" customFormat="1" x14ac:dyDescent="0.2">
      <c r="A162" s="1" t="s">
        <v>243</v>
      </c>
      <c r="B162" s="1">
        <v>1</v>
      </c>
      <c r="C162" s="1">
        <v>0.79035</v>
      </c>
      <c r="E162" s="1" t="s">
        <v>82</v>
      </c>
      <c r="F162" s="1" t="s">
        <v>51</v>
      </c>
      <c r="G162" s="1" t="s">
        <v>83</v>
      </c>
      <c r="H162" s="1">
        <v>5</v>
      </c>
      <c r="I162" s="1">
        <v>1.033558</v>
      </c>
      <c r="J162" s="1">
        <v>1.29359803757581</v>
      </c>
      <c r="K162" s="1" t="s">
        <v>29</v>
      </c>
      <c r="L162" s="1">
        <v>11</v>
      </c>
      <c r="M162" s="1">
        <v>0.28300999999999998</v>
      </c>
      <c r="N162" s="1">
        <v>1.4668923681374799</v>
      </c>
      <c r="O162" s="1">
        <f t="shared" si="6"/>
        <v>1.316568</v>
      </c>
      <c r="P162" s="1">
        <f t="shared" si="7"/>
        <v>-0.52621799999999996</v>
      </c>
      <c r="Q162" s="1">
        <f t="shared" si="8"/>
        <v>1</v>
      </c>
    </row>
    <row r="163" spans="1:17" s="1" customFormat="1" x14ac:dyDescent="0.2">
      <c r="A163" s="1" t="s">
        <v>244</v>
      </c>
      <c r="B163" s="1">
        <v>4</v>
      </c>
      <c r="C163" s="1">
        <v>1.532375</v>
      </c>
      <c r="D163" s="1">
        <v>0.38190399644413198</v>
      </c>
      <c r="E163" s="1" t="s">
        <v>127</v>
      </c>
      <c r="F163" s="1" t="s">
        <v>140</v>
      </c>
      <c r="G163" s="1" t="s">
        <v>128</v>
      </c>
      <c r="H163" s="1">
        <v>10</v>
      </c>
      <c r="I163" s="1">
        <v>1.880876</v>
      </c>
      <c r="J163" s="1">
        <v>1.92300027836249</v>
      </c>
      <c r="K163" s="1" t="s">
        <v>141</v>
      </c>
      <c r="L163" s="1">
        <v>8</v>
      </c>
      <c r="M163" s="1">
        <v>0.172484999999999</v>
      </c>
      <c r="N163" s="1">
        <v>1.0826691051549999</v>
      </c>
      <c r="O163" s="1">
        <f t="shared" si="6"/>
        <v>2.0533609999999989</v>
      </c>
      <c r="P163" s="1">
        <f t="shared" si="7"/>
        <v>-0.52098599999999884</v>
      </c>
      <c r="Q163" s="1">
        <f t="shared" si="8"/>
        <v>1</v>
      </c>
    </row>
    <row r="164" spans="1:17" s="1" customFormat="1" x14ac:dyDescent="0.2">
      <c r="A164" s="1" t="s">
        <v>245</v>
      </c>
      <c r="B164" s="1">
        <v>4</v>
      </c>
      <c r="C164" s="1">
        <v>-0.49373249999999902</v>
      </c>
      <c r="D164" s="1">
        <v>0.89015903041254296</v>
      </c>
      <c r="E164" s="1" t="s">
        <v>55</v>
      </c>
      <c r="F164" s="1" t="s">
        <v>41</v>
      </c>
      <c r="G164" s="1" t="s">
        <v>56</v>
      </c>
      <c r="H164" s="1">
        <v>10</v>
      </c>
      <c r="I164" s="1">
        <v>0.388548</v>
      </c>
      <c r="J164" s="1">
        <v>0.94956471628729799</v>
      </c>
      <c r="K164" s="1" t="s">
        <v>42</v>
      </c>
      <c r="L164" s="1">
        <v>8</v>
      </c>
      <c r="M164" s="1">
        <v>-0.36432874999999998</v>
      </c>
      <c r="N164" s="1">
        <v>1.09705879965397</v>
      </c>
      <c r="O164" s="1">
        <f t="shared" si="6"/>
        <v>2.4219250000000025E-2</v>
      </c>
      <c r="P164" s="1">
        <f t="shared" si="7"/>
        <v>-0.51795174999999904</v>
      </c>
      <c r="Q164" s="1">
        <f t="shared" si="8"/>
        <v>1</v>
      </c>
    </row>
    <row r="165" spans="1:17" s="1" customFormat="1" x14ac:dyDescent="0.2">
      <c r="A165" s="1" t="s">
        <v>246</v>
      </c>
      <c r="B165" s="1">
        <v>2</v>
      </c>
      <c r="C165" s="1">
        <v>-0.97888500000000001</v>
      </c>
      <c r="D165" s="1">
        <v>0.17000968340068101</v>
      </c>
      <c r="E165" s="1" t="s">
        <v>103</v>
      </c>
      <c r="F165" s="1" t="s">
        <v>41</v>
      </c>
      <c r="G165" s="1" t="s">
        <v>104</v>
      </c>
      <c r="H165" s="1">
        <v>9</v>
      </c>
      <c r="I165" s="1">
        <v>-0.102438888888888</v>
      </c>
      <c r="J165" s="1">
        <v>1.10975557567245</v>
      </c>
      <c r="K165" s="1" t="s">
        <v>42</v>
      </c>
      <c r="L165" s="1">
        <v>8</v>
      </c>
      <c r="M165" s="1">
        <v>-0.36432874999999998</v>
      </c>
      <c r="N165" s="1">
        <v>1.09705879965397</v>
      </c>
      <c r="O165" s="1">
        <f t="shared" si="6"/>
        <v>-0.46676763888888795</v>
      </c>
      <c r="P165" s="1">
        <f t="shared" si="7"/>
        <v>-0.51211736111111206</v>
      </c>
      <c r="Q165" s="1">
        <f t="shared" si="8"/>
        <v>1</v>
      </c>
    </row>
    <row r="166" spans="1:17" s="1" customFormat="1" x14ac:dyDescent="0.2">
      <c r="A166" s="1" t="s">
        <v>247</v>
      </c>
      <c r="B166" s="1">
        <v>3</v>
      </c>
      <c r="C166" s="1">
        <v>0.80700333333333296</v>
      </c>
      <c r="D166" s="1">
        <v>7.2942208859708493E-2</v>
      </c>
      <c r="E166" s="1" t="s">
        <v>114</v>
      </c>
      <c r="F166" s="1" t="s">
        <v>41</v>
      </c>
      <c r="G166" s="1" t="s">
        <v>116</v>
      </c>
      <c r="H166" s="1">
        <v>11</v>
      </c>
      <c r="I166" s="1">
        <v>1.68324272727272</v>
      </c>
      <c r="J166" s="1">
        <v>1.46712339504276</v>
      </c>
      <c r="K166" s="1" t="s">
        <v>42</v>
      </c>
      <c r="L166" s="1">
        <v>8</v>
      </c>
      <c r="M166" s="1">
        <v>-0.36432874999999998</v>
      </c>
      <c r="N166" s="1">
        <v>1.09705879965397</v>
      </c>
      <c r="O166" s="1">
        <f t="shared" si="6"/>
        <v>1.3189139772727199</v>
      </c>
      <c r="P166" s="1">
        <f t="shared" si="7"/>
        <v>-0.5119106439393869</v>
      </c>
      <c r="Q166" s="1">
        <f t="shared" si="8"/>
        <v>1</v>
      </c>
    </row>
    <row r="167" spans="1:17" s="1" customFormat="1" x14ac:dyDescent="0.2">
      <c r="A167" s="1" t="s">
        <v>248</v>
      </c>
      <c r="B167" s="1">
        <v>3</v>
      </c>
      <c r="C167" s="1">
        <v>0.64123333333333299</v>
      </c>
      <c r="D167" s="1">
        <v>1.5757674977398499</v>
      </c>
      <c r="E167" s="1" t="s">
        <v>89</v>
      </c>
      <c r="F167" s="1" t="s">
        <v>70</v>
      </c>
      <c r="G167" s="1" t="s">
        <v>90</v>
      </c>
      <c r="H167" s="1">
        <v>10</v>
      </c>
      <c r="I167" s="1">
        <v>0.71304500000000004</v>
      </c>
      <c r="J167" s="1">
        <v>1.2054066597188</v>
      </c>
      <c r="K167" s="1" t="s">
        <v>71</v>
      </c>
      <c r="L167" s="1">
        <v>9</v>
      </c>
      <c r="M167" s="1">
        <v>0.436627777777777</v>
      </c>
      <c r="N167" s="1">
        <v>1.6967771336844499</v>
      </c>
      <c r="O167" s="1">
        <f t="shared" si="6"/>
        <v>1.1496727777777771</v>
      </c>
      <c r="P167" s="1">
        <f t="shared" si="7"/>
        <v>-0.50843944444444411</v>
      </c>
      <c r="Q167" s="1">
        <f t="shared" si="8"/>
        <v>1</v>
      </c>
    </row>
    <row r="168" spans="1:17" s="1" customFormat="1" x14ac:dyDescent="0.2">
      <c r="A168" s="1" t="s">
        <v>249</v>
      </c>
      <c r="B168" s="1">
        <v>2</v>
      </c>
      <c r="C168" s="1">
        <v>2.10995</v>
      </c>
      <c r="D168" s="1">
        <v>0.11702617228637301</v>
      </c>
      <c r="E168" s="1" t="s">
        <v>85</v>
      </c>
      <c r="F168" s="1" t="s">
        <v>21</v>
      </c>
      <c r="G168" s="1" t="s">
        <v>86</v>
      </c>
      <c r="H168" s="1">
        <v>11</v>
      </c>
      <c r="I168" s="1">
        <v>0.89274545454545395</v>
      </c>
      <c r="J168" s="1">
        <v>0.61421292855757503</v>
      </c>
      <c r="K168" s="1" t="s">
        <v>23</v>
      </c>
      <c r="L168" s="1">
        <v>12</v>
      </c>
      <c r="M168" s="1">
        <v>1.7208699999999999</v>
      </c>
      <c r="N168" s="1">
        <v>2.0255937970697002</v>
      </c>
      <c r="O168" s="1">
        <f t="shared" si="6"/>
        <v>2.613615454545454</v>
      </c>
      <c r="P168" s="1">
        <f t="shared" si="7"/>
        <v>-0.50366545454545397</v>
      </c>
      <c r="Q168" s="1">
        <f t="shared" si="8"/>
        <v>1</v>
      </c>
    </row>
    <row r="169" spans="1:17" s="1" customFormat="1" x14ac:dyDescent="0.2">
      <c r="A169" s="1" t="s">
        <v>250</v>
      </c>
      <c r="B169" s="1">
        <v>5</v>
      </c>
      <c r="C169" s="1">
        <v>0.17469999999999999</v>
      </c>
      <c r="D169" s="1">
        <v>0.917646675987005</v>
      </c>
      <c r="E169" s="1" t="s">
        <v>89</v>
      </c>
      <c r="F169" s="1" t="s">
        <v>66</v>
      </c>
      <c r="G169" s="1" t="s">
        <v>90</v>
      </c>
      <c r="H169" s="1">
        <v>10</v>
      </c>
      <c r="I169" s="1">
        <v>0.71304500000000004</v>
      </c>
      <c r="J169" s="1">
        <v>1.2054066597188</v>
      </c>
      <c r="K169" s="1" t="s">
        <v>67</v>
      </c>
      <c r="L169" s="1">
        <v>7</v>
      </c>
      <c r="M169" s="1">
        <v>-3.6201428571428503E-2</v>
      </c>
      <c r="N169" s="1">
        <v>1.14054237817552</v>
      </c>
      <c r="O169" s="1">
        <f t="shared" si="6"/>
        <v>0.67684357142857154</v>
      </c>
      <c r="P169" s="1">
        <f t="shared" si="7"/>
        <v>-0.50214357142857158</v>
      </c>
      <c r="Q169" s="1">
        <f t="shared" si="8"/>
        <v>1</v>
      </c>
    </row>
    <row r="170" spans="1:17" s="1" customFormat="1" x14ac:dyDescent="0.2">
      <c r="A170" s="1" t="s">
        <v>251</v>
      </c>
      <c r="B170" s="1">
        <v>1</v>
      </c>
      <c r="C170" s="1">
        <v>1.2491000000000001</v>
      </c>
      <c r="E170" s="1" t="s">
        <v>50</v>
      </c>
      <c r="F170" s="1" t="s">
        <v>115</v>
      </c>
      <c r="G170" s="1" t="s">
        <v>52</v>
      </c>
      <c r="H170" s="1">
        <v>9</v>
      </c>
      <c r="I170" s="1">
        <v>1.6130088888888801</v>
      </c>
      <c r="J170" s="1">
        <v>1.1447563417322</v>
      </c>
      <c r="K170" s="1" t="s">
        <v>117</v>
      </c>
      <c r="L170" s="1">
        <v>9</v>
      </c>
      <c r="M170" s="1">
        <v>0.137493333333333</v>
      </c>
      <c r="N170" s="1">
        <v>1.4100316225354601</v>
      </c>
      <c r="O170" s="1">
        <f t="shared" si="6"/>
        <v>1.7505022222222131</v>
      </c>
      <c r="P170" s="1">
        <f t="shared" si="7"/>
        <v>-0.50140222222221298</v>
      </c>
      <c r="Q170" s="1">
        <f t="shared" si="8"/>
        <v>1</v>
      </c>
    </row>
    <row r="171" spans="1:17" s="1" customFormat="1" x14ac:dyDescent="0.2">
      <c r="A171" s="1" t="s">
        <v>252</v>
      </c>
      <c r="B171" s="1">
        <v>4</v>
      </c>
      <c r="C171" s="1">
        <v>-0.16394999999999901</v>
      </c>
      <c r="D171" s="1">
        <v>1.0511504539947301</v>
      </c>
      <c r="E171" s="1" t="s">
        <v>85</v>
      </c>
      <c r="F171" s="1" t="s">
        <v>111</v>
      </c>
      <c r="G171" s="1" t="s">
        <v>86</v>
      </c>
      <c r="H171" s="1">
        <v>11</v>
      </c>
      <c r="I171" s="1">
        <v>0.89274545454545395</v>
      </c>
      <c r="J171" s="1">
        <v>0.61421292855757503</v>
      </c>
      <c r="K171" s="1" t="s">
        <v>112</v>
      </c>
      <c r="L171" s="1">
        <v>8</v>
      </c>
      <c r="M171" s="1">
        <v>-0.57354125</v>
      </c>
      <c r="N171" s="1">
        <v>1.08103701105449</v>
      </c>
      <c r="O171" s="1">
        <f t="shared" si="6"/>
        <v>0.31920420454545395</v>
      </c>
      <c r="P171" s="1">
        <f t="shared" si="7"/>
        <v>-0.48315420454545299</v>
      </c>
      <c r="Q171" s="1">
        <f t="shared" si="8"/>
        <v>1</v>
      </c>
    </row>
    <row r="172" spans="1:17" s="1" customFormat="1" x14ac:dyDescent="0.2">
      <c r="A172" s="1" t="s">
        <v>253</v>
      </c>
      <c r="B172" s="1">
        <v>4</v>
      </c>
      <c r="C172" s="1">
        <v>0.53265750000000001</v>
      </c>
      <c r="D172" s="1">
        <v>0.84687657496532498</v>
      </c>
      <c r="E172" s="1" t="s">
        <v>114</v>
      </c>
      <c r="F172" s="1" t="s">
        <v>96</v>
      </c>
      <c r="G172" s="1" t="s">
        <v>116</v>
      </c>
      <c r="H172" s="1">
        <v>11</v>
      </c>
      <c r="I172" s="1">
        <v>1.68324272727272</v>
      </c>
      <c r="J172" s="1">
        <v>1.46712339504276</v>
      </c>
      <c r="K172" s="1" t="s">
        <v>97</v>
      </c>
      <c r="L172" s="1">
        <v>11</v>
      </c>
      <c r="M172" s="1">
        <v>-0.67713818181818197</v>
      </c>
      <c r="N172" s="1">
        <v>0.53652474380625104</v>
      </c>
      <c r="O172" s="1">
        <f t="shared" si="6"/>
        <v>1.0061045454545381</v>
      </c>
      <c r="P172" s="1">
        <f t="shared" si="7"/>
        <v>-0.47344704545453808</v>
      </c>
      <c r="Q172" s="1">
        <f t="shared" si="8"/>
        <v>1</v>
      </c>
    </row>
    <row r="173" spans="1:17" s="1" customFormat="1" x14ac:dyDescent="0.2">
      <c r="A173" s="1" t="s">
        <v>254</v>
      </c>
      <c r="B173" s="1">
        <v>3</v>
      </c>
      <c r="C173" s="1">
        <v>0.17495333333333299</v>
      </c>
      <c r="D173" s="1">
        <v>0.905523294914787</v>
      </c>
      <c r="E173" s="1" t="s">
        <v>30</v>
      </c>
      <c r="F173" s="1" t="s">
        <v>96</v>
      </c>
      <c r="G173" s="1" t="s">
        <v>32</v>
      </c>
      <c r="H173" s="1">
        <v>4</v>
      </c>
      <c r="I173" s="1">
        <v>1.3223024999999999</v>
      </c>
      <c r="J173" s="1">
        <v>0.83827518044991201</v>
      </c>
      <c r="K173" s="1" t="s">
        <v>97</v>
      </c>
      <c r="L173" s="1">
        <v>11</v>
      </c>
      <c r="M173" s="1">
        <v>-0.67713818181818197</v>
      </c>
      <c r="N173" s="1">
        <v>0.53652474380625104</v>
      </c>
      <c r="O173" s="1">
        <f t="shared" si="6"/>
        <v>0.64516431818181796</v>
      </c>
      <c r="P173" s="1">
        <f t="shared" si="7"/>
        <v>-0.470210984848485</v>
      </c>
      <c r="Q173" s="1">
        <f t="shared" si="8"/>
        <v>1</v>
      </c>
    </row>
    <row r="174" spans="1:17" s="1" customFormat="1" x14ac:dyDescent="0.2">
      <c r="A174" s="1" t="s">
        <v>255</v>
      </c>
      <c r="B174" s="1">
        <v>4</v>
      </c>
      <c r="C174" s="1">
        <v>-7.0472499999999993E-2</v>
      </c>
      <c r="D174" s="1">
        <v>0.755479669674615</v>
      </c>
      <c r="E174" s="1" t="s">
        <v>93</v>
      </c>
      <c r="F174" s="1" t="s">
        <v>66</v>
      </c>
      <c r="G174" s="1" t="s">
        <v>94</v>
      </c>
      <c r="H174" s="1">
        <v>6</v>
      </c>
      <c r="I174" s="1">
        <v>0.42126999999999998</v>
      </c>
      <c r="J174" s="1">
        <v>0.93603800183539498</v>
      </c>
      <c r="K174" s="1" t="s">
        <v>67</v>
      </c>
      <c r="L174" s="1">
        <v>7</v>
      </c>
      <c r="M174" s="1">
        <v>-3.6201428571428503E-2</v>
      </c>
      <c r="N174" s="1">
        <v>1.14054237817552</v>
      </c>
      <c r="O174" s="1">
        <f t="shared" si="6"/>
        <v>0.38506857142857148</v>
      </c>
      <c r="P174" s="1">
        <f t="shared" si="7"/>
        <v>-0.45554107142857148</v>
      </c>
      <c r="Q174" s="1">
        <f t="shared" si="8"/>
        <v>1</v>
      </c>
    </row>
    <row r="175" spans="1:17" s="1" customFormat="1" x14ac:dyDescent="0.2">
      <c r="A175" s="1" t="s">
        <v>256</v>
      </c>
      <c r="B175" s="1">
        <v>3</v>
      </c>
      <c r="C175" s="1">
        <v>-0.39166333333333297</v>
      </c>
      <c r="D175" s="1">
        <v>1.0947430658530399</v>
      </c>
      <c r="E175" s="1" t="s">
        <v>93</v>
      </c>
      <c r="F175" s="1" t="s">
        <v>41</v>
      </c>
      <c r="G175" s="1" t="s">
        <v>94</v>
      </c>
      <c r="H175" s="1">
        <v>6</v>
      </c>
      <c r="I175" s="1">
        <v>0.42126999999999998</v>
      </c>
      <c r="J175" s="1">
        <v>0.93603800183539498</v>
      </c>
      <c r="K175" s="1" t="s">
        <v>42</v>
      </c>
      <c r="L175" s="1">
        <v>8</v>
      </c>
      <c r="M175" s="1">
        <v>-0.36432874999999998</v>
      </c>
      <c r="N175" s="1">
        <v>1.09705879965397</v>
      </c>
      <c r="O175" s="1">
        <f t="shared" si="6"/>
        <v>5.6941249999999999E-2</v>
      </c>
      <c r="P175" s="1">
        <f t="shared" si="7"/>
        <v>-0.44860458333333297</v>
      </c>
      <c r="Q175" s="1">
        <f t="shared" si="8"/>
        <v>1</v>
      </c>
    </row>
    <row r="176" spans="1:17" s="1" customFormat="1" x14ac:dyDescent="0.2">
      <c r="A176" s="1" t="s">
        <v>105</v>
      </c>
      <c r="B176" s="1">
        <v>2</v>
      </c>
      <c r="C176" s="1">
        <v>1.1153200000000001</v>
      </c>
      <c r="D176" s="1">
        <v>0.34956530834738098</v>
      </c>
      <c r="E176" s="1" t="s">
        <v>50</v>
      </c>
      <c r="F176" s="1" t="s">
        <v>28</v>
      </c>
      <c r="G176" s="1" t="s">
        <v>52</v>
      </c>
      <c r="H176" s="1">
        <v>9</v>
      </c>
      <c r="I176" s="1">
        <v>1.6130088888888801</v>
      </c>
      <c r="J176" s="1">
        <v>1.1447563417322</v>
      </c>
      <c r="K176" s="1" t="s">
        <v>58</v>
      </c>
      <c r="L176" s="1">
        <v>13</v>
      </c>
      <c r="M176" s="1">
        <v>-5.0181538461538402E-2</v>
      </c>
      <c r="N176" s="1">
        <v>1.17547401340796</v>
      </c>
      <c r="O176" s="1">
        <f t="shared" si="6"/>
        <v>1.5628273504273416</v>
      </c>
      <c r="P176" s="1">
        <f t="shared" si="7"/>
        <v>-0.44750735042734147</v>
      </c>
      <c r="Q176" s="1">
        <f t="shared" si="8"/>
        <v>1</v>
      </c>
    </row>
    <row r="177" spans="1:17" s="1" customFormat="1" x14ac:dyDescent="0.2">
      <c r="A177" s="1" t="s">
        <v>258</v>
      </c>
      <c r="B177" s="1">
        <v>3</v>
      </c>
      <c r="C177" s="1">
        <v>-0.37710333333333301</v>
      </c>
      <c r="D177" s="1">
        <v>0.85020803109199805</v>
      </c>
      <c r="E177" s="1" t="s">
        <v>103</v>
      </c>
      <c r="F177" s="1" t="s">
        <v>140</v>
      </c>
      <c r="G177" s="1" t="s">
        <v>104</v>
      </c>
      <c r="H177" s="1">
        <v>9</v>
      </c>
      <c r="I177" s="1">
        <v>-0.102438888888888</v>
      </c>
      <c r="J177" s="1">
        <v>1.10975557567245</v>
      </c>
      <c r="K177" s="1" t="s">
        <v>141</v>
      </c>
      <c r="L177" s="1">
        <v>8</v>
      </c>
      <c r="M177" s="1">
        <v>0.172484999999999</v>
      </c>
      <c r="N177" s="1">
        <v>1.0826691051549999</v>
      </c>
      <c r="O177" s="1">
        <f t="shared" si="6"/>
        <v>7.0046111111111004E-2</v>
      </c>
      <c r="P177" s="1">
        <f t="shared" si="7"/>
        <v>-0.44714944444444404</v>
      </c>
      <c r="Q177" s="1">
        <f t="shared" si="8"/>
        <v>1</v>
      </c>
    </row>
    <row r="178" spans="1:17" s="1" customFormat="1" x14ac:dyDescent="0.2">
      <c r="A178" s="1" t="s">
        <v>259</v>
      </c>
      <c r="B178" s="1">
        <v>2</v>
      </c>
      <c r="C178" s="1">
        <v>1.4114500000000001</v>
      </c>
      <c r="D178" s="1">
        <v>0.10670241328105</v>
      </c>
      <c r="E178" s="1" t="s">
        <v>127</v>
      </c>
      <c r="F178" s="1" t="s">
        <v>66</v>
      </c>
      <c r="G178" s="1" t="s">
        <v>128</v>
      </c>
      <c r="H178" s="1">
        <v>10</v>
      </c>
      <c r="I178" s="1">
        <v>1.880876</v>
      </c>
      <c r="J178" s="1">
        <v>1.92300027836249</v>
      </c>
      <c r="K178" s="1" t="s">
        <v>67</v>
      </c>
      <c r="L178" s="1">
        <v>7</v>
      </c>
      <c r="M178" s="1">
        <v>-3.6201428571428503E-2</v>
      </c>
      <c r="N178" s="1">
        <v>1.14054237817552</v>
      </c>
      <c r="O178" s="1">
        <f t="shared" si="6"/>
        <v>1.8446745714285715</v>
      </c>
      <c r="P178" s="1">
        <f t="shared" si="7"/>
        <v>-0.4332245714285714</v>
      </c>
      <c r="Q178" s="1">
        <f t="shared" si="8"/>
        <v>1</v>
      </c>
    </row>
    <row r="179" spans="1:17" s="1" customFormat="1" x14ac:dyDescent="0.2">
      <c r="A179" s="1" t="s">
        <v>24</v>
      </c>
      <c r="B179" s="1">
        <v>5</v>
      </c>
      <c r="C179" s="1">
        <v>4.4859659999999897</v>
      </c>
      <c r="D179" s="1">
        <v>4.7756338323074896</v>
      </c>
      <c r="E179" s="1" t="s">
        <v>20</v>
      </c>
      <c r="F179" s="1" t="s">
        <v>25</v>
      </c>
      <c r="G179" s="1" t="s">
        <v>22</v>
      </c>
      <c r="H179" s="1">
        <v>11</v>
      </c>
      <c r="I179" s="1">
        <v>3.5028990909090898</v>
      </c>
      <c r="J179" s="1">
        <v>3.7668957679777999</v>
      </c>
      <c r="K179" s="1" t="s">
        <v>26</v>
      </c>
      <c r="L179" s="1">
        <v>12</v>
      </c>
      <c r="M179" s="1">
        <v>1.4098866666666601</v>
      </c>
      <c r="N179" s="1">
        <v>2.4071265767048402</v>
      </c>
      <c r="O179" s="1">
        <f t="shared" si="6"/>
        <v>4.9127857575757501</v>
      </c>
      <c r="P179" s="1">
        <f t="shared" si="7"/>
        <v>-0.42681975757576041</v>
      </c>
      <c r="Q179" s="1">
        <f t="shared" si="8"/>
        <v>1</v>
      </c>
    </row>
    <row r="180" spans="1:17" s="1" customFormat="1" x14ac:dyDescent="0.2">
      <c r="A180" s="1" t="s">
        <v>232</v>
      </c>
      <c r="B180" s="1">
        <v>1</v>
      </c>
      <c r="C180" s="1">
        <v>0.95791999999999999</v>
      </c>
      <c r="E180" s="1" t="s">
        <v>73</v>
      </c>
      <c r="F180" s="1" t="s">
        <v>25</v>
      </c>
      <c r="G180" s="1" t="s">
        <v>74</v>
      </c>
      <c r="H180" s="1">
        <v>7</v>
      </c>
      <c r="I180" s="1">
        <v>-3.2529999999999899E-2</v>
      </c>
      <c r="J180" s="1">
        <v>1.4564495190817</v>
      </c>
      <c r="K180" s="1" t="s">
        <v>26</v>
      </c>
      <c r="L180" s="1">
        <v>12</v>
      </c>
      <c r="M180" s="1">
        <v>1.4098866666666601</v>
      </c>
      <c r="N180" s="1">
        <v>2.4071265767048402</v>
      </c>
      <c r="O180" s="1">
        <f t="shared" si="6"/>
        <v>1.3773566666666601</v>
      </c>
      <c r="P180" s="1">
        <f t="shared" si="7"/>
        <v>-0.41943666666666013</v>
      </c>
      <c r="Q180" s="1">
        <f t="shared" si="8"/>
        <v>1</v>
      </c>
    </row>
    <row r="181" spans="1:17" s="1" customFormat="1" x14ac:dyDescent="0.2">
      <c r="A181" s="1" t="s">
        <v>262</v>
      </c>
      <c r="B181" s="1">
        <v>1</v>
      </c>
      <c r="C181" s="1">
        <v>1.1671</v>
      </c>
      <c r="E181" s="1" t="s">
        <v>50</v>
      </c>
      <c r="F181" s="1" t="s">
        <v>66</v>
      </c>
      <c r="G181" s="1" t="s">
        <v>52</v>
      </c>
      <c r="H181" s="1">
        <v>9</v>
      </c>
      <c r="I181" s="1">
        <v>1.6130088888888801</v>
      </c>
      <c r="J181" s="1">
        <v>1.1447563417322</v>
      </c>
      <c r="K181" s="1" t="s">
        <v>67</v>
      </c>
      <c r="L181" s="1">
        <v>7</v>
      </c>
      <c r="M181" s="1">
        <v>-3.6201428571428503E-2</v>
      </c>
      <c r="N181" s="1">
        <v>1.14054237817552</v>
      </c>
      <c r="O181" s="1">
        <f t="shared" si="6"/>
        <v>1.5768074603174516</v>
      </c>
      <c r="P181" s="1">
        <f t="shared" si="7"/>
        <v>-0.40970746031745153</v>
      </c>
      <c r="Q181" s="1">
        <f t="shared" si="8"/>
        <v>1</v>
      </c>
    </row>
    <row r="182" spans="1:17" s="1" customFormat="1" x14ac:dyDescent="0.2">
      <c r="A182" s="1" t="s">
        <v>138</v>
      </c>
      <c r="B182" s="1">
        <v>2</v>
      </c>
      <c r="C182" s="1">
        <v>-5.6639999999999899E-2</v>
      </c>
      <c r="D182" s="1">
        <v>1.1852523866248901</v>
      </c>
      <c r="E182" s="1" t="s">
        <v>55</v>
      </c>
      <c r="F182" s="1" t="s">
        <v>28</v>
      </c>
      <c r="G182" s="1" t="s">
        <v>56</v>
      </c>
      <c r="H182" s="1">
        <v>10</v>
      </c>
      <c r="I182" s="1">
        <v>0.388548</v>
      </c>
      <c r="J182" s="1">
        <v>0.94956471628729799</v>
      </c>
      <c r="K182" s="1" t="s">
        <v>58</v>
      </c>
      <c r="L182" s="1">
        <v>13</v>
      </c>
      <c r="M182" s="1">
        <v>-5.0181538461538402E-2</v>
      </c>
      <c r="N182" s="1">
        <v>1.17547401340796</v>
      </c>
      <c r="O182" s="1">
        <f t="shared" si="6"/>
        <v>0.33836646153846162</v>
      </c>
      <c r="P182" s="1">
        <f t="shared" si="7"/>
        <v>-0.39500646153846153</v>
      </c>
      <c r="Q182" s="1">
        <f t="shared" si="8"/>
        <v>1</v>
      </c>
    </row>
    <row r="183" spans="1:17" s="1" customFormat="1" x14ac:dyDescent="0.2">
      <c r="A183" s="1" t="s">
        <v>264</v>
      </c>
      <c r="B183" s="1">
        <v>2</v>
      </c>
      <c r="C183" s="1">
        <v>2.94015</v>
      </c>
      <c r="D183" s="1">
        <v>1.57522177644927</v>
      </c>
      <c r="E183" s="1" t="s">
        <v>50</v>
      </c>
      <c r="F183" s="1" t="s">
        <v>21</v>
      </c>
      <c r="G183" s="1" t="s">
        <v>52</v>
      </c>
      <c r="H183" s="1">
        <v>9</v>
      </c>
      <c r="I183" s="1">
        <v>1.6130088888888801</v>
      </c>
      <c r="J183" s="1">
        <v>1.1447563417322</v>
      </c>
      <c r="K183" s="1" t="s">
        <v>23</v>
      </c>
      <c r="L183" s="1">
        <v>12</v>
      </c>
      <c r="M183" s="1">
        <v>1.7208699999999999</v>
      </c>
      <c r="N183" s="1">
        <v>2.0255937970697002</v>
      </c>
      <c r="O183" s="1">
        <f t="shared" si="6"/>
        <v>3.3338788888888802</v>
      </c>
      <c r="P183" s="1">
        <f t="shared" si="7"/>
        <v>-0.39372888888888014</v>
      </c>
      <c r="Q183" s="1">
        <f t="shared" si="8"/>
        <v>1</v>
      </c>
    </row>
    <row r="184" spans="1:17" s="1" customFormat="1" x14ac:dyDescent="0.2">
      <c r="A184" s="1" t="s">
        <v>265</v>
      </c>
      <c r="B184" s="1">
        <v>4</v>
      </c>
      <c r="C184" s="1">
        <v>-0.91815999999999998</v>
      </c>
      <c r="D184" s="1">
        <v>0.20197728387123101</v>
      </c>
      <c r="E184" s="1" t="s">
        <v>55</v>
      </c>
      <c r="F184" s="1" t="s">
        <v>170</v>
      </c>
      <c r="G184" s="1" t="s">
        <v>56</v>
      </c>
      <c r="H184" s="1">
        <v>10</v>
      </c>
      <c r="I184" s="1">
        <v>0.388548</v>
      </c>
      <c r="J184" s="1">
        <v>0.94956471628729799</v>
      </c>
      <c r="K184" s="1" t="s">
        <v>171</v>
      </c>
      <c r="L184" s="1">
        <v>12</v>
      </c>
      <c r="M184" s="1">
        <v>-0.91476500000000005</v>
      </c>
      <c r="N184" s="1">
        <v>1.14711629868117</v>
      </c>
      <c r="O184" s="1">
        <f t="shared" si="6"/>
        <v>-0.52621700000000005</v>
      </c>
      <c r="P184" s="1">
        <f t="shared" si="7"/>
        <v>-0.39194299999999993</v>
      </c>
      <c r="Q184" s="1">
        <f t="shared" si="8"/>
        <v>1</v>
      </c>
    </row>
    <row r="185" spans="1:17" s="1" customFormat="1" x14ac:dyDescent="0.2">
      <c r="A185" s="1" t="s">
        <v>266</v>
      </c>
      <c r="B185" s="1">
        <v>4</v>
      </c>
      <c r="C185" s="1">
        <v>0.5868025</v>
      </c>
      <c r="D185" s="1">
        <v>1.45907953862186</v>
      </c>
      <c r="E185" s="1" t="s">
        <v>50</v>
      </c>
      <c r="F185" s="1" t="s">
        <v>96</v>
      </c>
      <c r="G185" s="1" t="s">
        <v>52</v>
      </c>
      <c r="H185" s="1">
        <v>9</v>
      </c>
      <c r="I185" s="1">
        <v>1.6130088888888801</v>
      </c>
      <c r="J185" s="1">
        <v>1.1447563417322</v>
      </c>
      <c r="K185" s="1" t="s">
        <v>97</v>
      </c>
      <c r="L185" s="1">
        <v>11</v>
      </c>
      <c r="M185" s="1">
        <v>-0.67713818181818197</v>
      </c>
      <c r="N185" s="1">
        <v>0.53652474380625104</v>
      </c>
      <c r="O185" s="1">
        <f t="shared" si="6"/>
        <v>0.93587070707069808</v>
      </c>
      <c r="P185" s="1">
        <f t="shared" si="7"/>
        <v>-0.34906820707069808</v>
      </c>
      <c r="Q185" s="1">
        <f t="shared" si="8"/>
        <v>1</v>
      </c>
    </row>
    <row r="186" spans="1:17" s="1" customFormat="1" x14ac:dyDescent="0.2">
      <c r="A186" s="1" t="s">
        <v>267</v>
      </c>
      <c r="B186" s="1">
        <v>1</v>
      </c>
      <c r="C186" s="1">
        <v>-1.0227999999999999</v>
      </c>
      <c r="E186" s="1" t="s">
        <v>76</v>
      </c>
      <c r="F186" s="1" t="s">
        <v>35</v>
      </c>
      <c r="G186" s="1" t="s">
        <v>77</v>
      </c>
      <c r="H186" s="1">
        <v>7</v>
      </c>
      <c r="I186" s="1">
        <v>-0.69767571428571395</v>
      </c>
      <c r="J186" s="1">
        <v>1.37870291931531</v>
      </c>
      <c r="K186" s="1" t="s">
        <v>36</v>
      </c>
      <c r="L186" s="1">
        <v>7</v>
      </c>
      <c r="M186" s="1">
        <v>-6.4271428571428804E-3</v>
      </c>
      <c r="N186" s="1">
        <v>1.10921236748896</v>
      </c>
      <c r="O186" s="1">
        <f t="shared" si="6"/>
        <v>-0.70410285714285681</v>
      </c>
      <c r="P186" s="1">
        <f t="shared" si="7"/>
        <v>-0.31869714285714312</v>
      </c>
      <c r="Q186" s="1">
        <f t="shared" si="8"/>
        <v>1</v>
      </c>
    </row>
    <row r="187" spans="1:17" s="1" customFormat="1" x14ac:dyDescent="0.2">
      <c r="A187" s="1" t="s">
        <v>268</v>
      </c>
      <c r="B187" s="1">
        <v>1</v>
      </c>
      <c r="C187" s="1">
        <v>1.4648000000000001</v>
      </c>
      <c r="E187" s="1" t="s">
        <v>79</v>
      </c>
      <c r="F187" s="1" t="s">
        <v>70</v>
      </c>
      <c r="G187" s="1" t="s">
        <v>80</v>
      </c>
      <c r="H187" s="1">
        <v>9</v>
      </c>
      <c r="I187" s="1">
        <v>1.3406211111111099</v>
      </c>
      <c r="J187" s="1">
        <v>0.51772118839304904</v>
      </c>
      <c r="K187" s="1" t="s">
        <v>71</v>
      </c>
      <c r="L187" s="1">
        <v>9</v>
      </c>
      <c r="M187" s="1">
        <v>0.436627777777777</v>
      </c>
      <c r="N187" s="1">
        <v>1.6967771336844499</v>
      </c>
      <c r="O187" s="1">
        <f t="shared" si="6"/>
        <v>1.7772488888888869</v>
      </c>
      <c r="P187" s="1">
        <f t="shared" si="7"/>
        <v>-0.31244888888888678</v>
      </c>
      <c r="Q187" s="1">
        <f t="shared" si="8"/>
        <v>1</v>
      </c>
    </row>
    <row r="188" spans="1:17" s="1" customFormat="1" x14ac:dyDescent="0.2">
      <c r="A188" s="1" t="s">
        <v>269</v>
      </c>
      <c r="B188" s="1">
        <v>5</v>
      </c>
      <c r="C188" s="1">
        <v>2.5728479999999898</v>
      </c>
      <c r="D188" s="1">
        <v>2.2672788004058901</v>
      </c>
      <c r="E188" s="1" t="s">
        <v>50</v>
      </c>
      <c r="F188" s="1" t="s">
        <v>44</v>
      </c>
      <c r="G188" s="1" t="s">
        <v>52</v>
      </c>
      <c r="H188" s="1">
        <v>9</v>
      </c>
      <c r="I188" s="1">
        <v>1.6130088888888801</v>
      </c>
      <c r="J188" s="1">
        <v>1.1447563417322</v>
      </c>
      <c r="K188" s="1" t="s">
        <v>45</v>
      </c>
      <c r="L188" s="1">
        <v>9</v>
      </c>
      <c r="M188" s="1">
        <v>1.2713288888888801</v>
      </c>
      <c r="N188" s="1">
        <v>2.2624284591641999</v>
      </c>
      <c r="O188" s="1">
        <f t="shared" si="6"/>
        <v>2.8843377777777599</v>
      </c>
      <c r="P188" s="1">
        <f t="shared" si="7"/>
        <v>-0.31148977777777009</v>
      </c>
      <c r="Q188" s="1">
        <f t="shared" si="8"/>
        <v>1</v>
      </c>
    </row>
    <row r="189" spans="1:17" s="1" customFormat="1" x14ac:dyDescent="0.2">
      <c r="A189" s="1" t="s">
        <v>270</v>
      </c>
      <c r="B189" s="1">
        <v>1</v>
      </c>
      <c r="C189" s="1">
        <v>-0.96172000000000002</v>
      </c>
      <c r="E189" s="1" t="s">
        <v>99</v>
      </c>
      <c r="F189" s="1" t="s">
        <v>111</v>
      </c>
      <c r="G189" s="1" t="s">
        <v>100</v>
      </c>
      <c r="H189" s="1">
        <v>9</v>
      </c>
      <c r="I189" s="1">
        <v>-8.8165555555555497E-2</v>
      </c>
      <c r="J189" s="1">
        <v>1.19505751278035</v>
      </c>
      <c r="K189" s="1" t="s">
        <v>112</v>
      </c>
      <c r="L189" s="1">
        <v>8</v>
      </c>
      <c r="M189" s="1">
        <v>-0.57354125</v>
      </c>
      <c r="N189" s="1">
        <v>1.08103701105449</v>
      </c>
      <c r="O189" s="1">
        <f t="shared" si="6"/>
        <v>-0.6617068055555555</v>
      </c>
      <c r="P189" s="1">
        <f t="shared" si="7"/>
        <v>-0.30001319444444452</v>
      </c>
      <c r="Q189" s="1">
        <f t="shared" si="8"/>
        <v>1</v>
      </c>
    </row>
    <row r="190" spans="1:17" s="1" customFormat="1" x14ac:dyDescent="0.2">
      <c r="A190" s="1" t="s">
        <v>271</v>
      </c>
      <c r="B190" s="1">
        <v>2</v>
      </c>
      <c r="C190" s="1">
        <v>-1.07358</v>
      </c>
      <c r="D190" s="1">
        <v>0.52074171793702095</v>
      </c>
      <c r="E190" s="1" t="s">
        <v>60</v>
      </c>
      <c r="F190" s="1" t="s">
        <v>35</v>
      </c>
      <c r="G190" s="1" t="s">
        <v>62</v>
      </c>
      <c r="H190" s="1">
        <v>10</v>
      </c>
      <c r="I190" s="1">
        <v>-0.77134100000000005</v>
      </c>
      <c r="J190" s="1">
        <v>0.73984927907198295</v>
      </c>
      <c r="K190" s="1" t="s">
        <v>36</v>
      </c>
      <c r="L190" s="1">
        <v>7</v>
      </c>
      <c r="M190" s="1">
        <v>-6.4271428571428804E-3</v>
      </c>
      <c r="N190" s="1">
        <v>1.10921236748896</v>
      </c>
      <c r="O190" s="1">
        <f t="shared" si="6"/>
        <v>-0.77776814285714291</v>
      </c>
      <c r="P190" s="1">
        <f t="shared" si="7"/>
        <v>-0.29581185714285707</v>
      </c>
      <c r="Q190" s="1">
        <f t="shared" si="8"/>
        <v>1</v>
      </c>
    </row>
    <row r="191" spans="1:17" s="1" customFormat="1" x14ac:dyDescent="0.2">
      <c r="A191" s="1" t="s">
        <v>272</v>
      </c>
      <c r="B191" s="1">
        <v>1</v>
      </c>
      <c r="C191" s="1">
        <v>2.2966000000000002</v>
      </c>
      <c r="E191" s="1" t="s">
        <v>20</v>
      </c>
      <c r="F191" s="1" t="s">
        <v>170</v>
      </c>
      <c r="G191" s="1" t="s">
        <v>22</v>
      </c>
      <c r="H191" s="1">
        <v>11</v>
      </c>
      <c r="I191" s="1">
        <v>3.5028990909090898</v>
      </c>
      <c r="J191" s="1">
        <v>3.7668957679777999</v>
      </c>
      <c r="K191" s="1" t="s">
        <v>171</v>
      </c>
      <c r="L191" s="1">
        <v>12</v>
      </c>
      <c r="M191" s="1">
        <v>-0.91476500000000005</v>
      </c>
      <c r="N191" s="1">
        <v>1.14711629868117</v>
      </c>
      <c r="O191" s="1">
        <f t="shared" si="6"/>
        <v>2.5881340909090897</v>
      </c>
      <c r="P191" s="1">
        <f t="shared" si="7"/>
        <v>-0.29153409090908955</v>
      </c>
      <c r="Q191" s="1">
        <f t="shared" si="8"/>
        <v>1</v>
      </c>
    </row>
    <row r="192" spans="1:17" s="1" customFormat="1" x14ac:dyDescent="0.2">
      <c r="A192" s="1" t="s">
        <v>273</v>
      </c>
      <c r="B192" s="1">
        <v>2</v>
      </c>
      <c r="C192" s="1">
        <v>-1.2346999999999999</v>
      </c>
      <c r="D192" s="1">
        <v>0.20067690450074199</v>
      </c>
      <c r="E192" s="1" t="s">
        <v>73</v>
      </c>
      <c r="F192" s="1" t="s">
        <v>170</v>
      </c>
      <c r="G192" s="1" t="s">
        <v>74</v>
      </c>
      <c r="H192" s="1">
        <v>7</v>
      </c>
      <c r="I192" s="1">
        <v>-3.2529999999999899E-2</v>
      </c>
      <c r="J192" s="1">
        <v>1.4564495190817</v>
      </c>
      <c r="K192" s="1" t="s">
        <v>171</v>
      </c>
      <c r="L192" s="1">
        <v>12</v>
      </c>
      <c r="M192" s="1">
        <v>-0.91476500000000005</v>
      </c>
      <c r="N192" s="1">
        <v>1.14711629868117</v>
      </c>
      <c r="O192" s="1">
        <f t="shared" si="6"/>
        <v>-0.947295</v>
      </c>
      <c r="P192" s="1">
        <f t="shared" si="7"/>
        <v>-0.28740499999999991</v>
      </c>
      <c r="Q192" s="1">
        <f t="shared" si="8"/>
        <v>1</v>
      </c>
    </row>
    <row r="193" spans="1:17" s="1" customFormat="1" x14ac:dyDescent="0.2">
      <c r="A193" s="1" t="s">
        <v>274</v>
      </c>
      <c r="B193" s="1">
        <v>3</v>
      </c>
      <c r="C193" s="1">
        <v>0.89583000000000002</v>
      </c>
      <c r="D193" s="1">
        <v>1.6256950740221801</v>
      </c>
      <c r="E193" s="1" t="s">
        <v>99</v>
      </c>
      <c r="F193" s="1" t="s">
        <v>44</v>
      </c>
      <c r="G193" s="1" t="s">
        <v>100</v>
      </c>
      <c r="H193" s="1">
        <v>9</v>
      </c>
      <c r="I193" s="1">
        <v>-8.8165555555555497E-2</v>
      </c>
      <c r="J193" s="1">
        <v>1.19505751278035</v>
      </c>
      <c r="K193" s="1" t="s">
        <v>45</v>
      </c>
      <c r="L193" s="1">
        <v>9</v>
      </c>
      <c r="M193" s="1">
        <v>1.2713288888888801</v>
      </c>
      <c r="N193" s="1">
        <v>2.2624284591641999</v>
      </c>
      <c r="O193" s="1">
        <f t="shared" si="6"/>
        <v>1.1831633333333245</v>
      </c>
      <c r="P193" s="1">
        <f t="shared" si="7"/>
        <v>-0.28733333333332445</v>
      </c>
      <c r="Q193" s="1">
        <f t="shared" si="8"/>
        <v>1</v>
      </c>
    </row>
    <row r="194" spans="1:17" s="1" customFormat="1" x14ac:dyDescent="0.2">
      <c r="A194" s="1" t="s">
        <v>346</v>
      </c>
      <c r="B194" s="1">
        <v>3</v>
      </c>
      <c r="C194" s="1">
        <v>1.56771666666666</v>
      </c>
      <c r="D194" s="1">
        <v>0.54557708056087995</v>
      </c>
      <c r="E194" s="1" t="s">
        <v>127</v>
      </c>
      <c r="F194" s="1" t="s">
        <v>28</v>
      </c>
      <c r="G194" s="1" t="s">
        <v>128</v>
      </c>
      <c r="H194" s="1">
        <v>10</v>
      </c>
      <c r="I194" s="1">
        <v>1.880876</v>
      </c>
      <c r="J194" s="1">
        <v>1.92300027836249</v>
      </c>
      <c r="K194" s="1" t="s">
        <v>58</v>
      </c>
      <c r="L194" s="1">
        <v>13</v>
      </c>
      <c r="M194" s="1">
        <v>-5.0181538461538402E-2</v>
      </c>
      <c r="N194" s="1">
        <v>1.17547401340796</v>
      </c>
      <c r="O194" s="1">
        <f t="shared" ref="O194:O257" si="9">I194+M194</f>
        <v>1.8306944615384615</v>
      </c>
      <c r="P194" s="1">
        <f t="shared" ref="P194:P257" si="10">C194-O194</f>
        <v>-0.26297779487180151</v>
      </c>
      <c r="Q194" s="1">
        <f t="shared" ref="Q194:Q257" si="11">IF(OR(E194="NT",F194="NT",E194="NTC",F194="NTC"),0,1)</f>
        <v>1</v>
      </c>
    </row>
    <row r="195" spans="1:17" s="1" customFormat="1" x14ac:dyDescent="0.2">
      <c r="A195" s="1" t="s">
        <v>276</v>
      </c>
      <c r="B195" s="1">
        <v>4</v>
      </c>
      <c r="C195" s="1">
        <v>-0.45711249999999998</v>
      </c>
      <c r="D195" s="1">
        <v>0.67843964970486903</v>
      </c>
      <c r="E195" s="1" t="s">
        <v>89</v>
      </c>
      <c r="F195" s="1" t="s">
        <v>170</v>
      </c>
      <c r="G195" s="1" t="s">
        <v>90</v>
      </c>
      <c r="H195" s="1">
        <v>10</v>
      </c>
      <c r="I195" s="1">
        <v>0.71304500000000004</v>
      </c>
      <c r="J195" s="1">
        <v>1.2054066597188</v>
      </c>
      <c r="K195" s="1" t="s">
        <v>171</v>
      </c>
      <c r="L195" s="1">
        <v>12</v>
      </c>
      <c r="M195" s="1">
        <v>-0.91476500000000005</v>
      </c>
      <c r="N195" s="1">
        <v>1.14711629868117</v>
      </c>
      <c r="O195" s="1">
        <f t="shared" si="9"/>
        <v>-0.20172000000000001</v>
      </c>
      <c r="P195" s="1">
        <f t="shared" si="10"/>
        <v>-0.25539249999999997</v>
      </c>
      <c r="Q195" s="1">
        <f t="shared" si="11"/>
        <v>1</v>
      </c>
    </row>
    <row r="196" spans="1:17" s="1" customFormat="1" x14ac:dyDescent="0.2">
      <c r="A196" s="1" t="s">
        <v>277</v>
      </c>
      <c r="B196" s="1">
        <v>1</v>
      </c>
      <c r="C196" s="1">
        <v>1.6281000000000001</v>
      </c>
      <c r="E196" s="1" t="s">
        <v>127</v>
      </c>
      <c r="F196" s="1" t="s">
        <v>35</v>
      </c>
      <c r="G196" s="1" t="s">
        <v>128</v>
      </c>
      <c r="H196" s="1">
        <v>10</v>
      </c>
      <c r="I196" s="1">
        <v>1.880876</v>
      </c>
      <c r="J196" s="1">
        <v>1.92300027836249</v>
      </c>
      <c r="K196" s="1" t="s">
        <v>36</v>
      </c>
      <c r="L196" s="1">
        <v>7</v>
      </c>
      <c r="M196" s="1">
        <v>-6.4271428571428804E-3</v>
      </c>
      <c r="N196" s="1">
        <v>1.10921236748896</v>
      </c>
      <c r="O196" s="1">
        <f t="shared" si="9"/>
        <v>1.874448857142857</v>
      </c>
      <c r="P196" s="1">
        <f t="shared" si="10"/>
        <v>-0.24634885714285693</v>
      </c>
      <c r="Q196" s="1">
        <f t="shared" si="11"/>
        <v>1</v>
      </c>
    </row>
    <row r="197" spans="1:17" s="1" customFormat="1" x14ac:dyDescent="0.2">
      <c r="A197" s="1" t="s">
        <v>278</v>
      </c>
      <c r="B197" s="1">
        <v>3</v>
      </c>
      <c r="C197" s="1">
        <v>0.54269333333333303</v>
      </c>
      <c r="D197" s="1">
        <v>1.49295710056696</v>
      </c>
      <c r="E197" s="1" t="s">
        <v>114</v>
      </c>
      <c r="F197" s="1" t="s">
        <v>170</v>
      </c>
      <c r="G197" s="1" t="s">
        <v>116</v>
      </c>
      <c r="H197" s="1">
        <v>11</v>
      </c>
      <c r="I197" s="1">
        <v>1.68324272727272</v>
      </c>
      <c r="J197" s="1">
        <v>1.46712339504276</v>
      </c>
      <c r="K197" s="1" t="s">
        <v>171</v>
      </c>
      <c r="L197" s="1">
        <v>12</v>
      </c>
      <c r="M197" s="1">
        <v>-0.91476500000000005</v>
      </c>
      <c r="N197" s="1">
        <v>1.14711629868117</v>
      </c>
      <c r="O197" s="1">
        <f t="shared" si="9"/>
        <v>0.7684777272727199</v>
      </c>
      <c r="P197" s="1">
        <f t="shared" si="10"/>
        <v>-0.22578439393938687</v>
      </c>
      <c r="Q197" s="1">
        <f t="shared" si="11"/>
        <v>1</v>
      </c>
    </row>
    <row r="198" spans="1:17" s="1" customFormat="1" x14ac:dyDescent="0.2">
      <c r="A198" s="1" t="s">
        <v>279</v>
      </c>
      <c r="B198" s="1">
        <v>1</v>
      </c>
      <c r="C198" s="1">
        <v>0.81125999999999998</v>
      </c>
      <c r="E198" s="1" t="s">
        <v>85</v>
      </c>
      <c r="F198" s="1" t="s">
        <v>115</v>
      </c>
      <c r="G198" s="1" t="s">
        <v>86</v>
      </c>
      <c r="H198" s="1">
        <v>11</v>
      </c>
      <c r="I198" s="1">
        <v>0.89274545454545395</v>
      </c>
      <c r="J198" s="1">
        <v>0.61421292855757503</v>
      </c>
      <c r="K198" s="1" t="s">
        <v>117</v>
      </c>
      <c r="L198" s="1">
        <v>9</v>
      </c>
      <c r="M198" s="1">
        <v>0.137493333333333</v>
      </c>
      <c r="N198" s="1">
        <v>1.4100316225354601</v>
      </c>
      <c r="O198" s="1">
        <f t="shared" si="9"/>
        <v>1.0302387878787869</v>
      </c>
      <c r="P198" s="1">
        <f t="shared" si="10"/>
        <v>-0.21897878787878688</v>
      </c>
      <c r="Q198" s="1">
        <f t="shared" si="11"/>
        <v>1</v>
      </c>
    </row>
    <row r="199" spans="1:17" s="1" customFormat="1" x14ac:dyDescent="0.2">
      <c r="A199" s="1" t="s">
        <v>280</v>
      </c>
      <c r="B199" s="1">
        <v>4</v>
      </c>
      <c r="C199" s="1">
        <v>1.4645999999999999</v>
      </c>
      <c r="D199" s="1">
        <v>2.1039739938189901</v>
      </c>
      <c r="E199" s="1" t="s">
        <v>114</v>
      </c>
      <c r="F199" s="1" t="s">
        <v>35</v>
      </c>
      <c r="G199" s="1" t="s">
        <v>116</v>
      </c>
      <c r="H199" s="1">
        <v>11</v>
      </c>
      <c r="I199" s="1">
        <v>1.68324272727272</v>
      </c>
      <c r="J199" s="1">
        <v>1.46712339504276</v>
      </c>
      <c r="K199" s="1" t="s">
        <v>36</v>
      </c>
      <c r="L199" s="1">
        <v>7</v>
      </c>
      <c r="M199" s="1">
        <v>-6.4271428571428804E-3</v>
      </c>
      <c r="N199" s="1">
        <v>1.10921236748896</v>
      </c>
      <c r="O199" s="1">
        <f t="shared" si="9"/>
        <v>1.676815584415577</v>
      </c>
      <c r="P199" s="1">
        <f t="shared" si="10"/>
        <v>-0.21221558441557709</v>
      </c>
      <c r="Q199" s="1">
        <f t="shared" si="11"/>
        <v>1</v>
      </c>
    </row>
    <row r="200" spans="1:17" s="1" customFormat="1" x14ac:dyDescent="0.2">
      <c r="A200" s="1" t="s">
        <v>281</v>
      </c>
      <c r="B200" s="1">
        <v>2</v>
      </c>
      <c r="C200" s="1">
        <v>-0.73638499999999996</v>
      </c>
      <c r="D200" s="1">
        <v>5.7494852378278102E-2</v>
      </c>
      <c r="E200" s="1" t="s">
        <v>76</v>
      </c>
      <c r="F200" s="1" t="s">
        <v>140</v>
      </c>
      <c r="G200" s="1" t="s">
        <v>77</v>
      </c>
      <c r="H200" s="1">
        <v>7</v>
      </c>
      <c r="I200" s="1">
        <v>-0.69767571428571395</v>
      </c>
      <c r="J200" s="1">
        <v>1.37870291931531</v>
      </c>
      <c r="K200" s="1" t="s">
        <v>141</v>
      </c>
      <c r="L200" s="1">
        <v>8</v>
      </c>
      <c r="M200" s="1">
        <v>0.172484999999999</v>
      </c>
      <c r="N200" s="1">
        <v>1.0826691051549999</v>
      </c>
      <c r="O200" s="1">
        <f t="shared" si="9"/>
        <v>-0.52519071428571495</v>
      </c>
      <c r="P200" s="1">
        <f t="shared" si="10"/>
        <v>-0.211194285714285</v>
      </c>
      <c r="Q200" s="1">
        <f t="shared" si="11"/>
        <v>1</v>
      </c>
    </row>
    <row r="201" spans="1:17" s="1" customFormat="1" x14ac:dyDescent="0.2">
      <c r="A201" s="1" t="s">
        <v>282</v>
      </c>
      <c r="B201" s="1">
        <v>2</v>
      </c>
      <c r="C201" s="1">
        <v>1.4230400000000001</v>
      </c>
      <c r="D201" s="1">
        <v>0.621914556189192</v>
      </c>
      <c r="E201" s="1" t="s">
        <v>99</v>
      </c>
      <c r="F201" s="1" t="s">
        <v>21</v>
      </c>
      <c r="G201" s="1" t="s">
        <v>100</v>
      </c>
      <c r="H201" s="1">
        <v>9</v>
      </c>
      <c r="I201" s="1">
        <v>-8.8165555555555497E-2</v>
      </c>
      <c r="J201" s="1">
        <v>1.19505751278035</v>
      </c>
      <c r="K201" s="1" t="s">
        <v>23</v>
      </c>
      <c r="L201" s="1">
        <v>12</v>
      </c>
      <c r="M201" s="1">
        <v>1.7208699999999999</v>
      </c>
      <c r="N201" s="1">
        <v>2.0255937970697002</v>
      </c>
      <c r="O201" s="1">
        <f t="shared" si="9"/>
        <v>1.6327044444444443</v>
      </c>
      <c r="P201" s="1">
        <f t="shared" si="10"/>
        <v>-0.20966444444444421</v>
      </c>
      <c r="Q201" s="1">
        <f t="shared" si="11"/>
        <v>1</v>
      </c>
    </row>
    <row r="202" spans="1:17" s="1" customFormat="1" x14ac:dyDescent="0.2">
      <c r="A202" s="1" t="s">
        <v>283</v>
      </c>
      <c r="B202" s="1">
        <v>2</v>
      </c>
      <c r="C202" s="1">
        <v>0.1759</v>
      </c>
      <c r="D202" s="1">
        <v>1.6863082517736701</v>
      </c>
      <c r="E202" s="1" t="s">
        <v>89</v>
      </c>
      <c r="F202" s="1" t="s">
        <v>41</v>
      </c>
      <c r="G202" s="1" t="s">
        <v>90</v>
      </c>
      <c r="H202" s="1">
        <v>10</v>
      </c>
      <c r="I202" s="1">
        <v>0.71304500000000004</v>
      </c>
      <c r="J202" s="1">
        <v>1.2054066597188</v>
      </c>
      <c r="K202" s="1" t="s">
        <v>42</v>
      </c>
      <c r="L202" s="1">
        <v>8</v>
      </c>
      <c r="M202" s="1">
        <v>-0.36432874999999998</v>
      </c>
      <c r="N202" s="1">
        <v>1.09705879965397</v>
      </c>
      <c r="O202" s="1">
        <f t="shared" si="9"/>
        <v>0.34871625000000006</v>
      </c>
      <c r="P202" s="1">
        <f t="shared" si="10"/>
        <v>-0.17281625000000006</v>
      </c>
      <c r="Q202" s="1">
        <f t="shared" si="11"/>
        <v>1</v>
      </c>
    </row>
    <row r="203" spans="1:17" s="1" customFormat="1" x14ac:dyDescent="0.2">
      <c r="A203" s="1" t="s">
        <v>284</v>
      </c>
      <c r="B203" s="1">
        <v>3</v>
      </c>
      <c r="C203" s="1">
        <v>1.8459733333333299</v>
      </c>
      <c r="D203" s="1">
        <v>1.48864205843222</v>
      </c>
      <c r="E203" s="1" t="s">
        <v>127</v>
      </c>
      <c r="F203" s="1" t="s">
        <v>115</v>
      </c>
      <c r="G203" s="1" t="s">
        <v>128</v>
      </c>
      <c r="H203" s="1">
        <v>10</v>
      </c>
      <c r="I203" s="1">
        <v>1.880876</v>
      </c>
      <c r="J203" s="1">
        <v>1.92300027836249</v>
      </c>
      <c r="K203" s="1" t="s">
        <v>117</v>
      </c>
      <c r="L203" s="1">
        <v>9</v>
      </c>
      <c r="M203" s="1">
        <v>0.137493333333333</v>
      </c>
      <c r="N203" s="1">
        <v>1.4100316225354601</v>
      </c>
      <c r="O203" s="1">
        <f t="shared" si="9"/>
        <v>2.0183693333333328</v>
      </c>
      <c r="P203" s="1">
        <f t="shared" si="10"/>
        <v>-0.17239600000000288</v>
      </c>
      <c r="Q203" s="1">
        <f t="shared" si="11"/>
        <v>1</v>
      </c>
    </row>
    <row r="204" spans="1:17" s="1" customFormat="1" x14ac:dyDescent="0.2">
      <c r="A204" s="1" t="s">
        <v>285</v>
      </c>
      <c r="B204" s="1">
        <v>3</v>
      </c>
      <c r="C204" s="1">
        <v>0.99684666666666599</v>
      </c>
      <c r="D204" s="1">
        <v>0.35218565918181999</v>
      </c>
      <c r="E204" s="1" t="s">
        <v>103</v>
      </c>
      <c r="F204" s="1" t="s">
        <v>44</v>
      </c>
      <c r="G204" s="1" t="s">
        <v>104</v>
      </c>
      <c r="H204" s="1">
        <v>9</v>
      </c>
      <c r="I204" s="1">
        <v>-0.102438888888888</v>
      </c>
      <c r="J204" s="1">
        <v>1.10975557567245</v>
      </c>
      <c r="K204" s="1" t="s">
        <v>45</v>
      </c>
      <c r="L204" s="1">
        <v>9</v>
      </c>
      <c r="M204" s="1">
        <v>1.2713288888888801</v>
      </c>
      <c r="N204" s="1">
        <v>2.2624284591641999</v>
      </c>
      <c r="O204" s="1">
        <f t="shared" si="9"/>
        <v>1.168889999999992</v>
      </c>
      <c r="P204" s="1">
        <f t="shared" si="10"/>
        <v>-0.172043333333326</v>
      </c>
      <c r="Q204" s="1">
        <f t="shared" si="11"/>
        <v>1</v>
      </c>
    </row>
    <row r="205" spans="1:17" s="1" customFormat="1" x14ac:dyDescent="0.2">
      <c r="A205" s="1" t="s">
        <v>286</v>
      </c>
      <c r="B205" s="1">
        <v>3</v>
      </c>
      <c r="C205" s="1">
        <v>-0.56786666666666596</v>
      </c>
      <c r="D205" s="1">
        <v>1.30397662683551</v>
      </c>
      <c r="E205" s="1" t="s">
        <v>73</v>
      </c>
      <c r="F205" s="1" t="s">
        <v>41</v>
      </c>
      <c r="G205" s="1" t="s">
        <v>74</v>
      </c>
      <c r="H205" s="1">
        <v>7</v>
      </c>
      <c r="I205" s="1">
        <v>-3.2529999999999899E-2</v>
      </c>
      <c r="J205" s="1">
        <v>1.4564495190817</v>
      </c>
      <c r="K205" s="1" t="s">
        <v>42</v>
      </c>
      <c r="L205" s="1">
        <v>8</v>
      </c>
      <c r="M205" s="1">
        <v>-0.36432874999999998</v>
      </c>
      <c r="N205" s="1">
        <v>1.09705879965397</v>
      </c>
      <c r="O205" s="1">
        <f t="shared" si="9"/>
        <v>-0.39685874999999987</v>
      </c>
      <c r="P205" s="1">
        <f t="shared" si="10"/>
        <v>-0.17100791666666609</v>
      </c>
      <c r="Q205" s="1">
        <f t="shared" si="11"/>
        <v>1</v>
      </c>
    </row>
    <row r="206" spans="1:17" s="1" customFormat="1" x14ac:dyDescent="0.2">
      <c r="A206" s="1" t="s">
        <v>287</v>
      </c>
      <c r="B206" s="1">
        <v>2</v>
      </c>
      <c r="C206" s="1">
        <v>-0.169319999999999</v>
      </c>
      <c r="D206" s="1">
        <v>1.40866984520859</v>
      </c>
      <c r="E206" s="1" t="s">
        <v>85</v>
      </c>
      <c r="F206" s="1" t="s">
        <v>170</v>
      </c>
      <c r="G206" s="1" t="s">
        <v>86</v>
      </c>
      <c r="H206" s="1">
        <v>11</v>
      </c>
      <c r="I206" s="1">
        <v>0.89274545454545395</v>
      </c>
      <c r="J206" s="1">
        <v>0.61421292855757503</v>
      </c>
      <c r="K206" s="1" t="s">
        <v>171</v>
      </c>
      <c r="L206" s="1">
        <v>12</v>
      </c>
      <c r="M206" s="1">
        <v>-0.91476500000000005</v>
      </c>
      <c r="N206" s="1">
        <v>1.14711629868117</v>
      </c>
      <c r="O206" s="1">
        <f t="shared" si="9"/>
        <v>-2.2019545454546097E-2</v>
      </c>
      <c r="P206" s="1">
        <f t="shared" si="10"/>
        <v>-0.1473004545454529</v>
      </c>
      <c r="Q206" s="1">
        <f t="shared" si="11"/>
        <v>1</v>
      </c>
    </row>
    <row r="207" spans="1:17" s="1" customFormat="1" x14ac:dyDescent="0.2">
      <c r="A207" s="1" t="s">
        <v>288</v>
      </c>
      <c r="B207" s="1">
        <v>5</v>
      </c>
      <c r="C207" s="1">
        <v>0.42685000000000001</v>
      </c>
      <c r="D207" s="1">
        <v>2.0176025536264501</v>
      </c>
      <c r="E207" s="1" t="s">
        <v>55</v>
      </c>
      <c r="F207" s="1" t="s">
        <v>140</v>
      </c>
      <c r="G207" s="1" t="s">
        <v>56</v>
      </c>
      <c r="H207" s="1">
        <v>10</v>
      </c>
      <c r="I207" s="1">
        <v>0.388548</v>
      </c>
      <c r="J207" s="1">
        <v>0.94956471628729799</v>
      </c>
      <c r="K207" s="1" t="s">
        <v>141</v>
      </c>
      <c r="L207" s="1">
        <v>8</v>
      </c>
      <c r="M207" s="1">
        <v>0.172484999999999</v>
      </c>
      <c r="N207" s="1">
        <v>1.0826691051549999</v>
      </c>
      <c r="O207" s="1">
        <f t="shared" si="9"/>
        <v>0.561032999999999</v>
      </c>
      <c r="P207" s="1">
        <f t="shared" si="10"/>
        <v>-0.134182999999999</v>
      </c>
      <c r="Q207" s="1">
        <f t="shared" si="11"/>
        <v>1</v>
      </c>
    </row>
    <row r="208" spans="1:17" s="1" customFormat="1" x14ac:dyDescent="0.2">
      <c r="A208" s="1" t="s">
        <v>289</v>
      </c>
      <c r="B208" s="1">
        <v>4</v>
      </c>
      <c r="C208" s="1">
        <v>2.8271999999999999</v>
      </c>
      <c r="D208" s="1">
        <v>2.96969387311217</v>
      </c>
      <c r="E208" s="1" t="s">
        <v>114</v>
      </c>
      <c r="F208" s="1" t="s">
        <v>44</v>
      </c>
      <c r="G208" s="1" t="s">
        <v>116</v>
      </c>
      <c r="H208" s="1">
        <v>11</v>
      </c>
      <c r="I208" s="1">
        <v>1.68324272727272</v>
      </c>
      <c r="J208" s="1">
        <v>1.46712339504276</v>
      </c>
      <c r="K208" s="1" t="s">
        <v>45</v>
      </c>
      <c r="L208" s="1">
        <v>9</v>
      </c>
      <c r="M208" s="1">
        <v>1.2713288888888801</v>
      </c>
      <c r="N208" s="1">
        <v>2.2624284591641999</v>
      </c>
      <c r="O208" s="1">
        <f t="shared" si="9"/>
        <v>2.9545716161616</v>
      </c>
      <c r="P208" s="1">
        <f t="shared" si="10"/>
        <v>-0.12737161616160009</v>
      </c>
      <c r="Q208" s="1">
        <f t="shared" si="11"/>
        <v>1</v>
      </c>
    </row>
    <row r="209" spans="1:17" s="1" customFormat="1" x14ac:dyDescent="0.2">
      <c r="A209" s="1" t="s">
        <v>347</v>
      </c>
      <c r="B209" s="1">
        <v>1</v>
      </c>
      <c r="C209" s="1">
        <v>1.1451</v>
      </c>
      <c r="E209" s="1" t="s">
        <v>30</v>
      </c>
      <c r="F209" s="1" t="s">
        <v>28</v>
      </c>
      <c r="G209" s="1" t="s">
        <v>32</v>
      </c>
      <c r="H209" s="1">
        <v>4</v>
      </c>
      <c r="I209" s="1">
        <v>1.3223024999999999</v>
      </c>
      <c r="J209" s="1">
        <v>0.83827518044991201</v>
      </c>
      <c r="K209" s="1" t="s">
        <v>58</v>
      </c>
      <c r="L209" s="1">
        <v>13</v>
      </c>
      <c r="M209" s="1">
        <v>-5.0181538461538402E-2</v>
      </c>
      <c r="N209" s="1">
        <v>1.17547401340796</v>
      </c>
      <c r="O209" s="1">
        <f t="shared" si="9"/>
        <v>1.2721209615384614</v>
      </c>
      <c r="P209" s="1">
        <f t="shared" si="10"/>
        <v>-0.12702096153846143</v>
      </c>
      <c r="Q209" s="1">
        <f t="shared" si="11"/>
        <v>1</v>
      </c>
    </row>
    <row r="210" spans="1:17" s="1" customFormat="1" x14ac:dyDescent="0.2">
      <c r="A210" s="1" t="s">
        <v>291</v>
      </c>
      <c r="B210" s="1">
        <v>2</v>
      </c>
      <c r="C210" s="1">
        <v>-0.92799499999999902</v>
      </c>
      <c r="D210" s="1">
        <v>0.142418376798782</v>
      </c>
      <c r="E210" s="1" t="s">
        <v>60</v>
      </c>
      <c r="F210" s="1" t="s">
        <v>66</v>
      </c>
      <c r="G210" s="1" t="s">
        <v>62</v>
      </c>
      <c r="H210" s="1">
        <v>10</v>
      </c>
      <c r="I210" s="1">
        <v>-0.77134100000000005</v>
      </c>
      <c r="J210" s="1">
        <v>0.73984927907198295</v>
      </c>
      <c r="K210" s="1" t="s">
        <v>67</v>
      </c>
      <c r="L210" s="1">
        <v>7</v>
      </c>
      <c r="M210" s="1">
        <v>-3.6201428571428503E-2</v>
      </c>
      <c r="N210" s="1">
        <v>1.14054237817552</v>
      </c>
      <c r="O210" s="1">
        <f t="shared" si="9"/>
        <v>-0.80754242857142855</v>
      </c>
      <c r="P210" s="1">
        <f t="shared" si="10"/>
        <v>-0.12045257142857047</v>
      </c>
      <c r="Q210" s="1">
        <f t="shared" si="11"/>
        <v>1</v>
      </c>
    </row>
    <row r="211" spans="1:17" s="1" customFormat="1" x14ac:dyDescent="0.2">
      <c r="A211" s="1" t="s">
        <v>292</v>
      </c>
      <c r="B211" s="1">
        <v>2</v>
      </c>
      <c r="C211" s="1">
        <v>0.40841</v>
      </c>
      <c r="D211" s="1">
        <v>1.4741620752820901</v>
      </c>
      <c r="E211" s="1" t="s">
        <v>85</v>
      </c>
      <c r="F211" s="1" t="s">
        <v>41</v>
      </c>
      <c r="G211" s="1" t="s">
        <v>86</v>
      </c>
      <c r="H211" s="1">
        <v>11</v>
      </c>
      <c r="I211" s="1">
        <v>0.89274545454545395</v>
      </c>
      <c r="J211" s="1">
        <v>0.61421292855757503</v>
      </c>
      <c r="K211" s="1" t="s">
        <v>42</v>
      </c>
      <c r="L211" s="1">
        <v>8</v>
      </c>
      <c r="M211" s="1">
        <v>-0.36432874999999998</v>
      </c>
      <c r="N211" s="1">
        <v>1.09705879965397</v>
      </c>
      <c r="O211" s="1">
        <f t="shared" si="9"/>
        <v>0.52841670454545397</v>
      </c>
      <c r="P211" s="1">
        <f t="shared" si="10"/>
        <v>-0.12000670454545398</v>
      </c>
      <c r="Q211" s="1">
        <f t="shared" si="11"/>
        <v>1</v>
      </c>
    </row>
    <row r="212" spans="1:17" s="1" customFormat="1" x14ac:dyDescent="0.2">
      <c r="A212" s="1" t="s">
        <v>293</v>
      </c>
      <c r="B212" s="1">
        <v>2</v>
      </c>
      <c r="C212" s="1">
        <v>-7.46E-2</v>
      </c>
      <c r="D212" s="1">
        <v>1.6362450916656699</v>
      </c>
      <c r="E212" s="1" t="s">
        <v>89</v>
      </c>
      <c r="F212" s="1" t="s">
        <v>96</v>
      </c>
      <c r="G212" s="1" t="s">
        <v>90</v>
      </c>
      <c r="H212" s="1">
        <v>10</v>
      </c>
      <c r="I212" s="1">
        <v>0.71304500000000004</v>
      </c>
      <c r="J212" s="1">
        <v>1.2054066597188</v>
      </c>
      <c r="K212" s="1" t="s">
        <v>97</v>
      </c>
      <c r="L212" s="1">
        <v>11</v>
      </c>
      <c r="M212" s="1">
        <v>-0.67713818181818197</v>
      </c>
      <c r="N212" s="1">
        <v>0.53652474380625104</v>
      </c>
      <c r="O212" s="1">
        <f t="shared" si="9"/>
        <v>3.5906818181818068E-2</v>
      </c>
      <c r="P212" s="1">
        <f t="shared" si="10"/>
        <v>-0.11050681818181807</v>
      </c>
      <c r="Q212" s="1">
        <f t="shared" si="11"/>
        <v>1</v>
      </c>
    </row>
    <row r="213" spans="1:17" s="1" customFormat="1" x14ac:dyDescent="0.2">
      <c r="A213" s="1" t="s">
        <v>294</v>
      </c>
      <c r="B213" s="1">
        <v>2</v>
      </c>
      <c r="C213" s="1">
        <v>-0.21414999999999901</v>
      </c>
      <c r="D213" s="1">
        <v>1.82270914986456</v>
      </c>
      <c r="E213" s="1" t="s">
        <v>103</v>
      </c>
      <c r="F213" s="1" t="s">
        <v>35</v>
      </c>
      <c r="G213" s="1" t="s">
        <v>104</v>
      </c>
      <c r="H213" s="1">
        <v>9</v>
      </c>
      <c r="I213" s="1">
        <v>-0.102438888888888</v>
      </c>
      <c r="J213" s="1">
        <v>1.10975557567245</v>
      </c>
      <c r="K213" s="1" t="s">
        <v>36</v>
      </c>
      <c r="L213" s="1">
        <v>7</v>
      </c>
      <c r="M213" s="1">
        <v>-6.4271428571428804E-3</v>
      </c>
      <c r="N213" s="1">
        <v>1.10921236748896</v>
      </c>
      <c r="O213" s="1">
        <f t="shared" si="9"/>
        <v>-0.10886603174603088</v>
      </c>
      <c r="P213" s="1">
        <f t="shared" si="10"/>
        <v>-0.10528396825396813</v>
      </c>
      <c r="Q213" s="1">
        <f t="shared" si="11"/>
        <v>1</v>
      </c>
    </row>
    <row r="214" spans="1:17" s="1" customFormat="1" x14ac:dyDescent="0.2">
      <c r="A214" s="1" t="s">
        <v>295</v>
      </c>
      <c r="B214" s="1">
        <v>2</v>
      </c>
      <c r="C214" s="1">
        <v>-0.87119999999999997</v>
      </c>
      <c r="D214" s="1">
        <v>9.8825243738631899E-2</v>
      </c>
      <c r="E214" s="1" t="s">
        <v>103</v>
      </c>
      <c r="F214" s="1" t="s">
        <v>96</v>
      </c>
      <c r="G214" s="1" t="s">
        <v>104</v>
      </c>
      <c r="H214" s="1">
        <v>9</v>
      </c>
      <c r="I214" s="1">
        <v>-0.102438888888888</v>
      </c>
      <c r="J214" s="1">
        <v>1.10975557567245</v>
      </c>
      <c r="K214" s="1" t="s">
        <v>97</v>
      </c>
      <c r="L214" s="1">
        <v>11</v>
      </c>
      <c r="M214" s="1">
        <v>-0.67713818181818197</v>
      </c>
      <c r="N214" s="1">
        <v>0.53652474380625104</v>
      </c>
      <c r="O214" s="1">
        <f t="shared" si="9"/>
        <v>-0.77957707070706994</v>
      </c>
      <c r="P214" s="1">
        <f t="shared" si="10"/>
        <v>-9.1622929292930033E-2</v>
      </c>
      <c r="Q214" s="1">
        <f t="shared" si="11"/>
        <v>1</v>
      </c>
    </row>
    <row r="215" spans="1:17" s="1" customFormat="1" x14ac:dyDescent="0.2">
      <c r="A215" s="1" t="s">
        <v>296</v>
      </c>
      <c r="B215" s="1">
        <v>3</v>
      </c>
      <c r="C215" s="1">
        <v>2.2726666666666602</v>
      </c>
      <c r="D215" s="1">
        <v>2.0102155962317401</v>
      </c>
      <c r="E215" s="1" t="s">
        <v>38</v>
      </c>
      <c r="F215" s="1" t="s">
        <v>115</v>
      </c>
      <c r="G215" s="1" t="s">
        <v>39</v>
      </c>
      <c r="H215" s="1">
        <v>6</v>
      </c>
      <c r="I215" s="1">
        <v>2.2193033333333299</v>
      </c>
      <c r="J215" s="1">
        <v>2.10856206151648</v>
      </c>
      <c r="K215" s="1" t="s">
        <v>117</v>
      </c>
      <c r="L215" s="1">
        <v>9</v>
      </c>
      <c r="M215" s="1">
        <v>0.137493333333333</v>
      </c>
      <c r="N215" s="1">
        <v>1.4100316225354601</v>
      </c>
      <c r="O215" s="1">
        <f t="shared" si="9"/>
        <v>2.3567966666666629</v>
      </c>
      <c r="P215" s="1">
        <f t="shared" si="10"/>
        <v>-8.4130000000002703E-2</v>
      </c>
      <c r="Q215" s="1">
        <f t="shared" si="11"/>
        <v>1</v>
      </c>
    </row>
    <row r="216" spans="1:17" s="1" customFormat="1" x14ac:dyDescent="0.2">
      <c r="A216" s="1" t="s">
        <v>297</v>
      </c>
      <c r="B216" s="1">
        <v>2</v>
      </c>
      <c r="C216" s="1">
        <v>-1.0467550000000001</v>
      </c>
      <c r="D216" s="1">
        <v>0.13879799007910701</v>
      </c>
      <c r="E216" s="1" t="s">
        <v>99</v>
      </c>
      <c r="F216" s="1" t="s">
        <v>170</v>
      </c>
      <c r="G216" s="1" t="s">
        <v>100</v>
      </c>
      <c r="H216" s="1">
        <v>9</v>
      </c>
      <c r="I216" s="1">
        <v>-8.8165555555555497E-2</v>
      </c>
      <c r="J216" s="1">
        <v>1.19505751278035</v>
      </c>
      <c r="K216" s="1" t="s">
        <v>171</v>
      </c>
      <c r="L216" s="1">
        <v>12</v>
      </c>
      <c r="M216" s="1">
        <v>-0.91476500000000005</v>
      </c>
      <c r="N216" s="1">
        <v>1.14711629868117</v>
      </c>
      <c r="O216" s="1">
        <f t="shared" si="9"/>
        <v>-1.0029305555555554</v>
      </c>
      <c r="P216" s="1">
        <f t="shared" si="10"/>
        <v>-4.3824444444444666E-2</v>
      </c>
      <c r="Q216" s="1">
        <f t="shared" si="11"/>
        <v>1</v>
      </c>
    </row>
    <row r="217" spans="1:17" s="1" customFormat="1" x14ac:dyDescent="0.2">
      <c r="A217" s="1" t="s">
        <v>298</v>
      </c>
      <c r="B217" s="1">
        <v>2</v>
      </c>
      <c r="C217" s="1">
        <v>-0.28743000000000002</v>
      </c>
      <c r="D217" s="1">
        <v>1.8170805798863101</v>
      </c>
      <c r="E217" s="1" t="s">
        <v>93</v>
      </c>
      <c r="F217" s="1" t="s">
        <v>96</v>
      </c>
      <c r="G217" s="1" t="s">
        <v>94</v>
      </c>
      <c r="H217" s="1">
        <v>6</v>
      </c>
      <c r="I217" s="1">
        <v>0.42126999999999998</v>
      </c>
      <c r="J217" s="1">
        <v>0.93603800183539498</v>
      </c>
      <c r="K217" s="1" t="s">
        <v>97</v>
      </c>
      <c r="L217" s="1">
        <v>11</v>
      </c>
      <c r="M217" s="1">
        <v>-0.67713818181818197</v>
      </c>
      <c r="N217" s="1">
        <v>0.53652474380625104</v>
      </c>
      <c r="O217" s="1">
        <f t="shared" si="9"/>
        <v>-0.25586818181818199</v>
      </c>
      <c r="P217" s="1">
        <f t="shared" si="10"/>
        <v>-3.1561818181818024E-2</v>
      </c>
      <c r="Q217" s="1">
        <f t="shared" si="11"/>
        <v>1</v>
      </c>
    </row>
    <row r="218" spans="1:17" s="1" customFormat="1" x14ac:dyDescent="0.2">
      <c r="A218" s="1" t="s">
        <v>299</v>
      </c>
      <c r="B218" s="1">
        <v>3</v>
      </c>
      <c r="C218" s="1">
        <v>-0.33178666666666601</v>
      </c>
      <c r="D218" s="1">
        <v>1.0681102984866899</v>
      </c>
      <c r="E218" s="1" t="s">
        <v>76</v>
      </c>
      <c r="F218" s="1" t="s">
        <v>47</v>
      </c>
      <c r="G218" s="1" t="s">
        <v>77</v>
      </c>
      <c r="H218" s="1">
        <v>7</v>
      </c>
      <c r="I218" s="1">
        <v>-0.69767571428571395</v>
      </c>
      <c r="J218" s="1">
        <v>1.37870291931531</v>
      </c>
      <c r="K218" s="1" t="s">
        <v>48</v>
      </c>
      <c r="L218" s="1">
        <v>13</v>
      </c>
      <c r="M218" s="1">
        <v>0.39538538461538397</v>
      </c>
      <c r="N218" s="1">
        <v>1.9995421937267499</v>
      </c>
      <c r="O218" s="1">
        <f t="shared" si="9"/>
        <v>-0.30229032967032998</v>
      </c>
      <c r="P218" s="1">
        <f t="shared" si="10"/>
        <v>-2.9496336996336026E-2</v>
      </c>
      <c r="Q218" s="1">
        <f t="shared" si="11"/>
        <v>1</v>
      </c>
    </row>
    <row r="219" spans="1:17" s="1" customFormat="1" x14ac:dyDescent="0.2">
      <c r="A219" s="1" t="s">
        <v>300</v>
      </c>
      <c r="B219" s="1">
        <v>3</v>
      </c>
      <c r="C219" s="1">
        <v>6.0209999999999902E-2</v>
      </c>
      <c r="D219" s="1">
        <v>0.80595534076026798</v>
      </c>
      <c r="E219" s="1" t="s">
        <v>99</v>
      </c>
      <c r="F219" s="1" t="s">
        <v>140</v>
      </c>
      <c r="G219" s="1" t="s">
        <v>100</v>
      </c>
      <c r="H219" s="1">
        <v>9</v>
      </c>
      <c r="I219" s="1">
        <v>-8.8165555555555497E-2</v>
      </c>
      <c r="J219" s="1">
        <v>1.19505751278035</v>
      </c>
      <c r="K219" s="1" t="s">
        <v>141</v>
      </c>
      <c r="L219" s="1">
        <v>8</v>
      </c>
      <c r="M219" s="1">
        <v>0.172484999999999</v>
      </c>
      <c r="N219" s="1">
        <v>1.0826691051549999</v>
      </c>
      <c r="O219" s="1">
        <f t="shared" si="9"/>
        <v>8.4319444444443503E-2</v>
      </c>
      <c r="P219" s="1">
        <f t="shared" si="10"/>
        <v>-2.4109444444443601E-2</v>
      </c>
      <c r="Q219" s="1">
        <f t="shared" si="11"/>
        <v>1</v>
      </c>
    </row>
    <row r="220" spans="1:17" s="1" customFormat="1" x14ac:dyDescent="0.2">
      <c r="A220" s="1" t="s">
        <v>150</v>
      </c>
      <c r="B220" s="1">
        <v>2</v>
      </c>
      <c r="C220" s="1">
        <v>-0.83497500000000002</v>
      </c>
      <c r="D220" s="1">
        <v>0.41171292334586701</v>
      </c>
      <c r="E220" s="1" t="s">
        <v>60</v>
      </c>
      <c r="F220" s="1" t="s">
        <v>28</v>
      </c>
      <c r="G220" s="1" t="s">
        <v>62</v>
      </c>
      <c r="H220" s="1">
        <v>10</v>
      </c>
      <c r="I220" s="1">
        <v>-0.77134100000000005</v>
      </c>
      <c r="J220" s="1">
        <v>0.73984927907198295</v>
      </c>
      <c r="K220" s="1" t="s">
        <v>58</v>
      </c>
      <c r="L220" s="1">
        <v>13</v>
      </c>
      <c r="M220" s="1">
        <v>-5.0181538461538402E-2</v>
      </c>
      <c r="N220" s="1">
        <v>1.17547401340796</v>
      </c>
      <c r="O220" s="1">
        <f t="shared" si="9"/>
        <v>-0.82152253846153844</v>
      </c>
      <c r="P220" s="1">
        <f t="shared" si="10"/>
        <v>-1.345246153846158E-2</v>
      </c>
      <c r="Q220" s="1">
        <f t="shared" si="11"/>
        <v>1</v>
      </c>
    </row>
    <row r="221" spans="1:17" s="1" customFormat="1" x14ac:dyDescent="0.2">
      <c r="A221" s="1" t="s">
        <v>90</v>
      </c>
      <c r="B221" s="1">
        <v>10</v>
      </c>
      <c r="C221" s="1">
        <v>0.71304499999999904</v>
      </c>
      <c r="D221" s="1">
        <v>1.2054066597188</v>
      </c>
      <c r="E221" s="1" t="s">
        <v>89</v>
      </c>
      <c r="F221" s="1" t="s">
        <v>302</v>
      </c>
      <c r="G221" s="1" t="s">
        <v>90</v>
      </c>
      <c r="H221" s="1">
        <v>10</v>
      </c>
      <c r="I221" s="1">
        <v>0.71304500000000004</v>
      </c>
      <c r="J221" s="1">
        <v>1.2054066597188</v>
      </c>
      <c r="O221" s="1">
        <f t="shared" si="9"/>
        <v>0.71304500000000004</v>
      </c>
      <c r="P221" s="1">
        <f t="shared" si="10"/>
        <v>-9.9920072216264089E-16</v>
      </c>
      <c r="Q221" s="1">
        <f t="shared" si="11"/>
        <v>0</v>
      </c>
    </row>
    <row r="222" spans="1:17" s="1" customFormat="1" x14ac:dyDescent="0.2">
      <c r="A222" s="1" t="s">
        <v>128</v>
      </c>
      <c r="B222" s="1">
        <v>10</v>
      </c>
      <c r="C222" s="1">
        <v>1.880876</v>
      </c>
      <c r="D222" s="1">
        <v>1.92300027836249</v>
      </c>
      <c r="E222" s="1" t="s">
        <v>127</v>
      </c>
      <c r="F222" s="1" t="s">
        <v>302</v>
      </c>
      <c r="G222" s="1" t="s">
        <v>128</v>
      </c>
      <c r="H222" s="1">
        <v>10</v>
      </c>
      <c r="I222" s="1">
        <v>1.880876</v>
      </c>
      <c r="J222" s="1">
        <v>1.92300027836249</v>
      </c>
      <c r="O222" s="1">
        <f t="shared" si="9"/>
        <v>1.880876</v>
      </c>
      <c r="P222" s="1">
        <f t="shared" si="10"/>
        <v>0</v>
      </c>
      <c r="Q222" s="1">
        <f t="shared" si="11"/>
        <v>0</v>
      </c>
    </row>
    <row r="223" spans="1:17" s="1" customFormat="1" x14ac:dyDescent="0.2">
      <c r="A223" s="1" t="s">
        <v>100</v>
      </c>
      <c r="B223" s="1">
        <v>9</v>
      </c>
      <c r="C223" s="1">
        <v>-8.8165555555555497E-2</v>
      </c>
      <c r="D223" s="1">
        <v>1.19505751278035</v>
      </c>
      <c r="E223" s="1" t="s">
        <v>99</v>
      </c>
      <c r="F223" s="1" t="s">
        <v>302</v>
      </c>
      <c r="G223" s="1" t="s">
        <v>100</v>
      </c>
      <c r="H223" s="1">
        <v>9</v>
      </c>
      <c r="I223" s="1">
        <v>-8.8165555555555497E-2</v>
      </c>
      <c r="J223" s="1">
        <v>1.19505751278035</v>
      </c>
      <c r="O223" s="1">
        <f t="shared" si="9"/>
        <v>-8.8165555555555497E-2</v>
      </c>
      <c r="P223" s="1">
        <f t="shared" si="10"/>
        <v>0</v>
      </c>
      <c r="Q223" s="1">
        <f t="shared" si="11"/>
        <v>0</v>
      </c>
    </row>
    <row r="224" spans="1:17" s="1" customFormat="1" x14ac:dyDescent="0.2">
      <c r="A224" s="1" t="s">
        <v>104</v>
      </c>
      <c r="B224" s="1">
        <v>9</v>
      </c>
      <c r="C224" s="1">
        <v>-0.102438888888888</v>
      </c>
      <c r="D224" s="1">
        <v>1.10975557567245</v>
      </c>
      <c r="E224" s="1" t="s">
        <v>103</v>
      </c>
      <c r="F224" s="1" t="s">
        <v>302</v>
      </c>
      <c r="G224" s="1" t="s">
        <v>104</v>
      </c>
      <c r="H224" s="1">
        <v>9</v>
      </c>
      <c r="I224" s="1">
        <v>-0.102438888888888</v>
      </c>
      <c r="J224" s="1">
        <v>1.10975557567245</v>
      </c>
      <c r="O224" s="1">
        <f t="shared" si="9"/>
        <v>-0.102438888888888</v>
      </c>
      <c r="P224" s="1">
        <f t="shared" si="10"/>
        <v>0</v>
      </c>
      <c r="Q224" s="1">
        <f t="shared" si="11"/>
        <v>0</v>
      </c>
    </row>
    <row r="225" spans="1:17" s="1" customFormat="1" x14ac:dyDescent="0.2">
      <c r="A225" s="1" t="s">
        <v>32</v>
      </c>
      <c r="B225" s="1">
        <v>4</v>
      </c>
      <c r="C225" s="1">
        <v>1.3223024999999999</v>
      </c>
      <c r="D225" s="1">
        <v>0.83827518044991201</v>
      </c>
      <c r="E225" s="1" t="s">
        <v>30</v>
      </c>
      <c r="F225" s="1" t="s">
        <v>302</v>
      </c>
      <c r="G225" s="1" t="s">
        <v>32</v>
      </c>
      <c r="H225" s="1">
        <v>4</v>
      </c>
      <c r="I225" s="1">
        <v>1.3223024999999999</v>
      </c>
      <c r="J225" s="1">
        <v>0.83827518044991201</v>
      </c>
      <c r="O225" s="1">
        <f t="shared" si="9"/>
        <v>1.3223024999999999</v>
      </c>
      <c r="P225" s="1">
        <f t="shared" si="10"/>
        <v>0</v>
      </c>
      <c r="Q225" s="1">
        <f t="shared" si="11"/>
        <v>0</v>
      </c>
    </row>
    <row r="226" spans="1:17" s="1" customFormat="1" x14ac:dyDescent="0.2">
      <c r="A226" s="1" t="s">
        <v>80</v>
      </c>
      <c r="B226" s="1">
        <v>9</v>
      </c>
      <c r="C226" s="1">
        <v>1.3406211111111099</v>
      </c>
      <c r="D226" s="1">
        <v>0.51772118839304904</v>
      </c>
      <c r="E226" s="1" t="s">
        <v>79</v>
      </c>
      <c r="F226" s="1" t="s">
        <v>302</v>
      </c>
      <c r="G226" s="1" t="s">
        <v>80</v>
      </c>
      <c r="H226" s="1">
        <v>9</v>
      </c>
      <c r="I226" s="1">
        <v>1.3406211111111099</v>
      </c>
      <c r="J226" s="1">
        <v>0.51772118839304904</v>
      </c>
      <c r="O226" s="1">
        <f t="shared" si="9"/>
        <v>1.3406211111111099</v>
      </c>
      <c r="P226" s="1">
        <f t="shared" si="10"/>
        <v>0</v>
      </c>
      <c r="Q226" s="1">
        <f t="shared" si="11"/>
        <v>0</v>
      </c>
    </row>
    <row r="227" spans="1:17" s="1" customFormat="1" x14ac:dyDescent="0.2">
      <c r="A227" s="1" t="s">
        <v>94</v>
      </c>
      <c r="B227" s="1">
        <v>6</v>
      </c>
      <c r="C227" s="1">
        <v>0.42126999999999998</v>
      </c>
      <c r="D227" s="1">
        <v>0.93603800183539498</v>
      </c>
      <c r="E227" s="1" t="s">
        <v>93</v>
      </c>
      <c r="F227" s="1" t="s">
        <v>302</v>
      </c>
      <c r="G227" s="1" t="s">
        <v>94</v>
      </c>
      <c r="H227" s="1">
        <v>6</v>
      </c>
      <c r="I227" s="1">
        <v>0.42126999999999998</v>
      </c>
      <c r="J227" s="1">
        <v>0.93603800183539498</v>
      </c>
      <c r="O227" s="1">
        <f t="shared" si="9"/>
        <v>0.42126999999999998</v>
      </c>
      <c r="P227" s="1">
        <f t="shared" si="10"/>
        <v>0</v>
      </c>
      <c r="Q227" s="1">
        <f t="shared" si="11"/>
        <v>0</v>
      </c>
    </row>
    <row r="228" spans="1:17" s="1" customFormat="1" x14ac:dyDescent="0.2">
      <c r="A228" s="1" t="s">
        <v>52</v>
      </c>
      <c r="B228" s="1">
        <v>9</v>
      </c>
      <c r="C228" s="1">
        <v>1.6130088888888801</v>
      </c>
      <c r="D228" s="1">
        <v>1.1447563417322</v>
      </c>
      <c r="E228" s="1" t="s">
        <v>50</v>
      </c>
      <c r="F228" s="1" t="s">
        <v>302</v>
      </c>
      <c r="G228" s="1" t="s">
        <v>52</v>
      </c>
      <c r="H228" s="1">
        <v>9</v>
      </c>
      <c r="I228" s="1">
        <v>1.6130088888888801</v>
      </c>
      <c r="J228" s="1">
        <v>1.1447563417322</v>
      </c>
      <c r="O228" s="1">
        <f t="shared" si="9"/>
        <v>1.6130088888888801</v>
      </c>
      <c r="P228" s="1">
        <f t="shared" si="10"/>
        <v>0</v>
      </c>
      <c r="Q228" s="1">
        <f t="shared" si="11"/>
        <v>0</v>
      </c>
    </row>
    <row r="229" spans="1:17" s="1" customFormat="1" x14ac:dyDescent="0.2">
      <c r="A229" s="1" t="s">
        <v>116</v>
      </c>
      <c r="B229" s="1">
        <v>11</v>
      </c>
      <c r="C229" s="1">
        <v>1.68324272727272</v>
      </c>
      <c r="D229" s="1">
        <v>1.46712339504276</v>
      </c>
      <c r="E229" s="1" t="s">
        <v>114</v>
      </c>
      <c r="F229" s="1" t="s">
        <v>302</v>
      </c>
      <c r="G229" s="1" t="s">
        <v>116</v>
      </c>
      <c r="H229" s="1">
        <v>11</v>
      </c>
      <c r="I229" s="1">
        <v>1.68324272727272</v>
      </c>
      <c r="J229" s="1">
        <v>1.46712339504276</v>
      </c>
      <c r="O229" s="1">
        <f t="shared" si="9"/>
        <v>1.68324272727272</v>
      </c>
      <c r="P229" s="1">
        <f t="shared" si="10"/>
        <v>0</v>
      </c>
      <c r="Q229" s="1">
        <f t="shared" si="11"/>
        <v>0</v>
      </c>
    </row>
    <row r="230" spans="1:17" s="1" customFormat="1" x14ac:dyDescent="0.2">
      <c r="A230" s="1" t="s">
        <v>86</v>
      </c>
      <c r="B230" s="1">
        <v>11</v>
      </c>
      <c r="C230" s="1">
        <v>0.89274545454545395</v>
      </c>
      <c r="D230" s="1">
        <v>0.61421292855757403</v>
      </c>
      <c r="E230" s="1" t="s">
        <v>85</v>
      </c>
      <c r="F230" s="1" t="s">
        <v>302</v>
      </c>
      <c r="G230" s="1" t="s">
        <v>86</v>
      </c>
      <c r="H230" s="1">
        <v>11</v>
      </c>
      <c r="I230" s="1">
        <v>0.89274545454545395</v>
      </c>
      <c r="J230" s="1">
        <v>0.61421292855757503</v>
      </c>
      <c r="O230" s="1">
        <f t="shared" si="9"/>
        <v>0.89274545454545395</v>
      </c>
      <c r="P230" s="1">
        <f t="shared" si="10"/>
        <v>0</v>
      </c>
      <c r="Q230" s="1">
        <f t="shared" si="11"/>
        <v>0</v>
      </c>
    </row>
    <row r="231" spans="1:17" s="1" customFormat="1" x14ac:dyDescent="0.2">
      <c r="A231" s="1" t="s">
        <v>58</v>
      </c>
      <c r="B231" s="1">
        <v>13</v>
      </c>
      <c r="C231" s="1">
        <v>-5.0181538461538402E-2</v>
      </c>
      <c r="D231" s="1">
        <v>1.17547401340796</v>
      </c>
      <c r="E231" s="1" t="s">
        <v>302</v>
      </c>
      <c r="F231" s="1" t="s">
        <v>28</v>
      </c>
      <c r="K231" s="1" t="s">
        <v>58</v>
      </c>
      <c r="L231" s="1">
        <v>13</v>
      </c>
      <c r="M231" s="1">
        <v>-5.0181538461538402E-2</v>
      </c>
      <c r="N231" s="1">
        <v>1.17547401340796</v>
      </c>
      <c r="O231" s="1">
        <f t="shared" si="9"/>
        <v>-5.0181538461538402E-2</v>
      </c>
      <c r="P231" s="1">
        <f t="shared" si="10"/>
        <v>0</v>
      </c>
      <c r="Q231" s="1">
        <f t="shared" si="11"/>
        <v>0</v>
      </c>
    </row>
    <row r="232" spans="1:17" s="1" customFormat="1" x14ac:dyDescent="0.2">
      <c r="A232" s="1" t="s">
        <v>63</v>
      </c>
      <c r="B232" s="1">
        <v>8</v>
      </c>
      <c r="C232" s="1">
        <v>1.5330999999999999</v>
      </c>
      <c r="D232" s="1">
        <v>3.6639506145026401</v>
      </c>
      <c r="E232" s="1" t="s">
        <v>302</v>
      </c>
      <c r="F232" s="1" t="s">
        <v>61</v>
      </c>
      <c r="K232" s="1" t="s">
        <v>63</v>
      </c>
      <c r="L232" s="1">
        <v>8</v>
      </c>
      <c r="M232" s="1">
        <v>1.5330999999999999</v>
      </c>
      <c r="N232" s="1">
        <v>3.6639506145026401</v>
      </c>
      <c r="O232" s="1">
        <f t="shared" si="9"/>
        <v>1.5330999999999999</v>
      </c>
      <c r="P232" s="1">
        <f t="shared" si="10"/>
        <v>0</v>
      </c>
      <c r="Q232" s="1">
        <f t="shared" si="11"/>
        <v>0</v>
      </c>
    </row>
    <row r="233" spans="1:17" s="1" customFormat="1" x14ac:dyDescent="0.2">
      <c r="A233" s="1" t="s">
        <v>29</v>
      </c>
      <c r="B233" s="1">
        <v>11</v>
      </c>
      <c r="C233" s="1">
        <v>0.28300999999999998</v>
      </c>
      <c r="D233" s="1">
        <v>1.4668923681374799</v>
      </c>
      <c r="E233" s="1" t="s">
        <v>302</v>
      </c>
      <c r="F233" s="1" t="s">
        <v>51</v>
      </c>
      <c r="K233" s="1" t="s">
        <v>29</v>
      </c>
      <c r="L233" s="1">
        <v>11</v>
      </c>
      <c r="M233" s="1">
        <v>0.28300999999999998</v>
      </c>
      <c r="N233" s="1">
        <v>1.4668923681374799</v>
      </c>
      <c r="O233" s="1">
        <f t="shared" si="9"/>
        <v>0.28300999999999998</v>
      </c>
      <c r="P233" s="1">
        <f t="shared" si="10"/>
        <v>0</v>
      </c>
      <c r="Q233" s="1">
        <f t="shared" si="11"/>
        <v>0</v>
      </c>
    </row>
    <row r="234" spans="1:17" s="1" customFormat="1" x14ac:dyDescent="0.2">
      <c r="A234" s="1" t="s">
        <v>33</v>
      </c>
      <c r="B234" s="1">
        <v>13</v>
      </c>
      <c r="C234" s="1">
        <v>1.12689461538461</v>
      </c>
      <c r="D234" s="1">
        <v>2.6514113909218699</v>
      </c>
      <c r="E234" s="1" t="s">
        <v>302</v>
      </c>
      <c r="F234" s="1" t="s">
        <v>31</v>
      </c>
      <c r="K234" s="1" t="s">
        <v>33</v>
      </c>
      <c r="L234" s="1">
        <v>13</v>
      </c>
      <c r="M234" s="1">
        <v>1.12689461538461</v>
      </c>
      <c r="N234" s="1">
        <v>2.6514113909218699</v>
      </c>
      <c r="O234" s="1">
        <f t="shared" si="9"/>
        <v>1.12689461538461</v>
      </c>
      <c r="P234" s="1">
        <f t="shared" si="10"/>
        <v>0</v>
      </c>
      <c r="Q234" s="1">
        <f t="shared" si="11"/>
        <v>0</v>
      </c>
    </row>
    <row r="235" spans="1:17" s="1" customFormat="1" x14ac:dyDescent="0.2">
      <c r="A235" s="1" t="s">
        <v>171</v>
      </c>
      <c r="B235" s="1">
        <v>12</v>
      </c>
      <c r="C235" s="1">
        <v>-0.91476500000000005</v>
      </c>
      <c r="D235" s="1">
        <v>1.14711629868117</v>
      </c>
      <c r="E235" s="1" t="s">
        <v>302</v>
      </c>
      <c r="F235" s="1" t="s">
        <v>170</v>
      </c>
      <c r="K235" s="1" t="s">
        <v>171</v>
      </c>
      <c r="L235" s="1">
        <v>12</v>
      </c>
      <c r="M235" s="1">
        <v>-0.91476500000000005</v>
      </c>
      <c r="N235" s="1">
        <v>1.14711629868117</v>
      </c>
      <c r="O235" s="1">
        <f t="shared" si="9"/>
        <v>-0.91476500000000005</v>
      </c>
      <c r="P235" s="1">
        <f t="shared" si="10"/>
        <v>0</v>
      </c>
      <c r="Q235" s="1">
        <f t="shared" si="11"/>
        <v>0</v>
      </c>
    </row>
    <row r="236" spans="1:17" s="1" customFormat="1" x14ac:dyDescent="0.2">
      <c r="A236" s="1" t="s">
        <v>67</v>
      </c>
      <c r="B236" s="1">
        <v>7</v>
      </c>
      <c r="C236" s="1">
        <v>-3.6201428571428503E-2</v>
      </c>
      <c r="D236" s="1">
        <v>1.14054237817552</v>
      </c>
      <c r="E236" s="1" t="s">
        <v>302</v>
      </c>
      <c r="F236" s="1" t="s">
        <v>66</v>
      </c>
      <c r="K236" s="1" t="s">
        <v>67</v>
      </c>
      <c r="L236" s="1">
        <v>7</v>
      </c>
      <c r="M236" s="1">
        <v>-3.6201428571428503E-2</v>
      </c>
      <c r="N236" s="1">
        <v>1.14054237817552</v>
      </c>
      <c r="O236" s="1">
        <f t="shared" si="9"/>
        <v>-3.6201428571428503E-2</v>
      </c>
      <c r="P236" s="1">
        <f t="shared" si="10"/>
        <v>0</v>
      </c>
      <c r="Q236" s="1">
        <f t="shared" si="11"/>
        <v>0</v>
      </c>
    </row>
    <row r="237" spans="1:17" s="1" customFormat="1" x14ac:dyDescent="0.2">
      <c r="A237" s="1" t="s">
        <v>117</v>
      </c>
      <c r="B237" s="1">
        <v>9</v>
      </c>
      <c r="C237" s="1">
        <v>0.137493333333333</v>
      </c>
      <c r="D237" s="1">
        <v>1.4100316225354601</v>
      </c>
      <c r="E237" s="1" t="s">
        <v>302</v>
      </c>
      <c r="F237" s="1" t="s">
        <v>115</v>
      </c>
      <c r="K237" s="1" t="s">
        <v>117</v>
      </c>
      <c r="L237" s="1">
        <v>9</v>
      </c>
      <c r="M237" s="1">
        <v>0.137493333333333</v>
      </c>
      <c r="N237" s="1">
        <v>1.4100316225354601</v>
      </c>
      <c r="O237" s="1">
        <f t="shared" si="9"/>
        <v>0.137493333333333</v>
      </c>
      <c r="P237" s="1">
        <f t="shared" si="10"/>
        <v>0</v>
      </c>
      <c r="Q237" s="1">
        <f t="shared" si="11"/>
        <v>0</v>
      </c>
    </row>
    <row r="238" spans="1:17" s="1" customFormat="1" x14ac:dyDescent="0.2">
      <c r="A238" s="1" t="s">
        <v>45</v>
      </c>
      <c r="B238" s="1">
        <v>9</v>
      </c>
      <c r="C238" s="1">
        <v>1.2713288888888801</v>
      </c>
      <c r="D238" s="1">
        <v>2.2624284591641999</v>
      </c>
      <c r="E238" s="1" t="s">
        <v>302</v>
      </c>
      <c r="F238" s="1" t="s">
        <v>44</v>
      </c>
      <c r="K238" s="1" t="s">
        <v>45</v>
      </c>
      <c r="L238" s="1">
        <v>9</v>
      </c>
      <c r="M238" s="1">
        <v>1.2713288888888801</v>
      </c>
      <c r="N238" s="1">
        <v>2.2624284591641999</v>
      </c>
      <c r="O238" s="1">
        <f t="shared" si="9"/>
        <v>1.2713288888888801</v>
      </c>
      <c r="P238" s="1">
        <f t="shared" si="10"/>
        <v>0</v>
      </c>
      <c r="Q238" s="1">
        <f t="shared" si="11"/>
        <v>0</v>
      </c>
    </row>
    <row r="239" spans="1:17" s="1" customFormat="1" x14ac:dyDescent="0.2">
      <c r="A239" s="1" t="s">
        <v>26</v>
      </c>
      <c r="B239" s="1">
        <v>12</v>
      </c>
      <c r="C239" s="1">
        <v>1.4098866666666601</v>
      </c>
      <c r="D239" s="1">
        <v>2.4071265767048402</v>
      </c>
      <c r="E239" s="1" t="s">
        <v>302</v>
      </c>
      <c r="F239" s="1" t="s">
        <v>25</v>
      </c>
      <c r="K239" s="1" t="s">
        <v>26</v>
      </c>
      <c r="L239" s="1">
        <v>12</v>
      </c>
      <c r="M239" s="1">
        <v>1.4098866666666601</v>
      </c>
      <c r="N239" s="1">
        <v>2.4071265767048402</v>
      </c>
      <c r="O239" s="1">
        <f t="shared" si="9"/>
        <v>1.4098866666666601</v>
      </c>
      <c r="P239" s="1">
        <f t="shared" si="10"/>
        <v>0</v>
      </c>
      <c r="Q239" s="1">
        <f t="shared" si="11"/>
        <v>0</v>
      </c>
    </row>
    <row r="240" spans="1:17" s="1" customFormat="1" x14ac:dyDescent="0.2">
      <c r="A240" s="1" t="s">
        <v>42</v>
      </c>
      <c r="B240" s="1">
        <v>8</v>
      </c>
      <c r="C240" s="1">
        <v>-0.36432874999999998</v>
      </c>
      <c r="D240" s="1">
        <v>1.09705879965397</v>
      </c>
      <c r="E240" s="1" t="s">
        <v>302</v>
      </c>
      <c r="F240" s="1" t="s">
        <v>41</v>
      </c>
      <c r="K240" s="1" t="s">
        <v>42</v>
      </c>
      <c r="L240" s="1">
        <v>8</v>
      </c>
      <c r="M240" s="1">
        <v>-0.36432874999999998</v>
      </c>
      <c r="N240" s="1">
        <v>1.09705879965397</v>
      </c>
      <c r="O240" s="1">
        <f t="shared" si="9"/>
        <v>-0.36432874999999998</v>
      </c>
      <c r="P240" s="1">
        <f t="shared" si="10"/>
        <v>0</v>
      </c>
      <c r="Q240" s="1">
        <f t="shared" si="11"/>
        <v>0</v>
      </c>
    </row>
    <row r="241" spans="1:17" s="1" customFormat="1" x14ac:dyDescent="0.2">
      <c r="A241" s="1" t="s">
        <v>141</v>
      </c>
      <c r="B241" s="1">
        <v>8</v>
      </c>
      <c r="C241" s="1">
        <v>0.172484999999999</v>
      </c>
      <c r="D241" s="1">
        <v>1.0826691051549999</v>
      </c>
      <c r="E241" s="1" t="s">
        <v>302</v>
      </c>
      <c r="F241" s="1" t="s">
        <v>140</v>
      </c>
      <c r="K241" s="1" t="s">
        <v>141</v>
      </c>
      <c r="L241" s="1">
        <v>8</v>
      </c>
      <c r="M241" s="1">
        <v>0.172484999999999</v>
      </c>
      <c r="N241" s="1">
        <v>1.0826691051549999</v>
      </c>
      <c r="O241" s="1">
        <f t="shared" si="9"/>
        <v>0.172484999999999</v>
      </c>
      <c r="P241" s="1">
        <f t="shared" si="10"/>
        <v>0</v>
      </c>
      <c r="Q241" s="1">
        <f t="shared" si="11"/>
        <v>0</v>
      </c>
    </row>
    <row r="242" spans="1:17" s="1" customFormat="1" x14ac:dyDescent="0.2">
      <c r="A242" s="1" t="s">
        <v>71</v>
      </c>
      <c r="B242" s="1">
        <v>9</v>
      </c>
      <c r="C242" s="1">
        <v>0.436627777777777</v>
      </c>
      <c r="D242" s="1">
        <v>1.6967771336844499</v>
      </c>
      <c r="E242" s="1" t="s">
        <v>302</v>
      </c>
      <c r="F242" s="1" t="s">
        <v>70</v>
      </c>
      <c r="K242" s="1" t="s">
        <v>71</v>
      </c>
      <c r="L242" s="1">
        <v>9</v>
      </c>
      <c r="M242" s="1">
        <v>0.436627777777777</v>
      </c>
      <c r="N242" s="1">
        <v>1.6967771336844499</v>
      </c>
      <c r="O242" s="1">
        <f t="shared" si="9"/>
        <v>0.436627777777777</v>
      </c>
      <c r="P242" s="1">
        <f t="shared" si="10"/>
        <v>0</v>
      </c>
      <c r="Q242" s="1">
        <f t="shared" si="11"/>
        <v>0</v>
      </c>
    </row>
    <row r="243" spans="1:17" s="1" customFormat="1" x14ac:dyDescent="0.2">
      <c r="A243" s="1" t="s">
        <v>23</v>
      </c>
      <c r="B243" s="1">
        <v>12</v>
      </c>
      <c r="C243" s="1">
        <v>1.7208699999999999</v>
      </c>
      <c r="D243" s="1">
        <v>2.0255937970697002</v>
      </c>
      <c r="E243" s="1" t="s">
        <v>302</v>
      </c>
      <c r="F243" s="1" t="s">
        <v>21</v>
      </c>
      <c r="K243" s="1" t="s">
        <v>23</v>
      </c>
      <c r="L243" s="1">
        <v>12</v>
      </c>
      <c r="M243" s="1">
        <v>1.7208699999999999</v>
      </c>
      <c r="N243" s="1">
        <v>2.0255937970697002</v>
      </c>
      <c r="O243" s="1">
        <f t="shared" si="9"/>
        <v>1.7208699999999999</v>
      </c>
      <c r="P243" s="1">
        <f t="shared" si="10"/>
        <v>0</v>
      </c>
      <c r="Q243" s="1">
        <f t="shared" si="11"/>
        <v>0</v>
      </c>
    </row>
    <row r="244" spans="1:17" s="1" customFormat="1" x14ac:dyDescent="0.2">
      <c r="A244" s="1" t="s">
        <v>48</v>
      </c>
      <c r="B244" s="1">
        <v>13</v>
      </c>
      <c r="C244" s="1">
        <v>0.39538538461538397</v>
      </c>
      <c r="D244" s="1">
        <v>1.9995421937267499</v>
      </c>
      <c r="E244" s="1" t="s">
        <v>302</v>
      </c>
      <c r="F244" s="1" t="s">
        <v>47</v>
      </c>
      <c r="K244" s="1" t="s">
        <v>48</v>
      </c>
      <c r="L244" s="1">
        <v>13</v>
      </c>
      <c r="M244" s="1">
        <v>0.39538538461538397</v>
      </c>
      <c r="N244" s="1">
        <v>1.9995421937267499</v>
      </c>
      <c r="O244" s="1">
        <f t="shared" si="9"/>
        <v>0.39538538461538397</v>
      </c>
      <c r="P244" s="1">
        <f t="shared" si="10"/>
        <v>0</v>
      </c>
      <c r="Q244" s="1">
        <f t="shared" si="11"/>
        <v>0</v>
      </c>
    </row>
    <row r="245" spans="1:17" s="1" customFormat="1" x14ac:dyDescent="0.2">
      <c r="A245" s="1" t="s">
        <v>112</v>
      </c>
      <c r="B245" s="1">
        <v>8</v>
      </c>
      <c r="C245" s="1">
        <v>-0.57354125</v>
      </c>
      <c r="D245" s="1">
        <v>1.08103701105449</v>
      </c>
      <c r="E245" s="1" t="s">
        <v>302</v>
      </c>
      <c r="F245" s="1" t="s">
        <v>111</v>
      </c>
      <c r="K245" s="1" t="s">
        <v>112</v>
      </c>
      <c r="L245" s="1">
        <v>8</v>
      </c>
      <c r="M245" s="1">
        <v>-0.57354125</v>
      </c>
      <c r="N245" s="1">
        <v>1.08103701105449</v>
      </c>
      <c r="O245" s="1">
        <f t="shared" si="9"/>
        <v>-0.57354125</v>
      </c>
      <c r="P245" s="1">
        <f t="shared" si="10"/>
        <v>0</v>
      </c>
      <c r="Q245" s="1">
        <f t="shared" si="11"/>
        <v>0</v>
      </c>
    </row>
    <row r="246" spans="1:17" s="1" customFormat="1" x14ac:dyDescent="0.2">
      <c r="A246" s="1" t="s">
        <v>22</v>
      </c>
      <c r="B246" s="1">
        <v>11</v>
      </c>
      <c r="C246" s="1">
        <v>3.5028990909090898</v>
      </c>
      <c r="D246" s="1">
        <v>3.7668957679777999</v>
      </c>
      <c r="E246" s="1" t="s">
        <v>20</v>
      </c>
      <c r="F246" s="1" t="s">
        <v>302</v>
      </c>
      <c r="G246" s="1" t="s">
        <v>22</v>
      </c>
      <c r="H246" s="1">
        <v>11</v>
      </c>
      <c r="I246" s="1">
        <v>3.5028990909090898</v>
      </c>
      <c r="J246" s="1">
        <v>3.7668957679777999</v>
      </c>
      <c r="O246" s="1">
        <f t="shared" si="9"/>
        <v>3.5028990909090898</v>
      </c>
      <c r="P246" s="1">
        <f t="shared" si="10"/>
        <v>0</v>
      </c>
      <c r="Q246" s="1">
        <f t="shared" si="11"/>
        <v>0</v>
      </c>
    </row>
    <row r="247" spans="1:17" s="1" customFormat="1" x14ac:dyDescent="0.2">
      <c r="A247" s="1" t="s">
        <v>83</v>
      </c>
      <c r="B247" s="1">
        <v>5</v>
      </c>
      <c r="C247" s="1">
        <v>1.033558</v>
      </c>
      <c r="D247" s="1">
        <v>1.29359803757581</v>
      </c>
      <c r="E247" s="1" t="s">
        <v>82</v>
      </c>
      <c r="F247" s="1" t="s">
        <v>302</v>
      </c>
      <c r="G247" s="1" t="s">
        <v>83</v>
      </c>
      <c r="H247" s="1">
        <v>5</v>
      </c>
      <c r="I247" s="1">
        <v>1.033558</v>
      </c>
      <c r="J247" s="1">
        <v>1.29359803757581</v>
      </c>
      <c r="O247" s="1">
        <f t="shared" si="9"/>
        <v>1.033558</v>
      </c>
      <c r="P247" s="1">
        <f t="shared" si="10"/>
        <v>0</v>
      </c>
      <c r="Q247" s="1">
        <f t="shared" si="11"/>
        <v>0</v>
      </c>
    </row>
    <row r="248" spans="1:17" s="1" customFormat="1" x14ac:dyDescent="0.2">
      <c r="A248" s="1" t="s">
        <v>39</v>
      </c>
      <c r="B248" s="1">
        <v>6</v>
      </c>
      <c r="C248" s="1">
        <v>2.2193033333333299</v>
      </c>
      <c r="D248" s="1">
        <v>2.10856206151648</v>
      </c>
      <c r="E248" s="1" t="s">
        <v>38</v>
      </c>
      <c r="F248" s="1" t="s">
        <v>302</v>
      </c>
      <c r="G248" s="1" t="s">
        <v>39</v>
      </c>
      <c r="H248" s="1">
        <v>6</v>
      </c>
      <c r="I248" s="1">
        <v>2.2193033333333299</v>
      </c>
      <c r="J248" s="1">
        <v>2.10856206151648</v>
      </c>
      <c r="O248" s="1">
        <f t="shared" si="9"/>
        <v>2.2193033333333299</v>
      </c>
      <c r="P248" s="1">
        <f t="shared" si="10"/>
        <v>0</v>
      </c>
      <c r="Q248" s="1">
        <f t="shared" si="11"/>
        <v>0</v>
      </c>
    </row>
    <row r="249" spans="1:17" s="1" customFormat="1" x14ac:dyDescent="0.2">
      <c r="A249" s="1" t="s">
        <v>74</v>
      </c>
      <c r="B249" s="1">
        <v>7</v>
      </c>
      <c r="C249" s="1">
        <v>-3.2529999999999899E-2</v>
      </c>
      <c r="D249" s="1">
        <v>1.4564495190817</v>
      </c>
      <c r="E249" s="1" t="s">
        <v>73</v>
      </c>
      <c r="F249" s="1" t="s">
        <v>302</v>
      </c>
      <c r="G249" s="1" t="s">
        <v>74</v>
      </c>
      <c r="H249" s="1">
        <v>7</v>
      </c>
      <c r="I249" s="1">
        <v>-3.2529999999999899E-2</v>
      </c>
      <c r="J249" s="1">
        <v>1.4564495190817</v>
      </c>
      <c r="O249" s="1">
        <f t="shared" si="9"/>
        <v>-3.2529999999999899E-2</v>
      </c>
      <c r="P249" s="1">
        <f t="shared" si="10"/>
        <v>0</v>
      </c>
      <c r="Q249" s="1">
        <f t="shared" si="11"/>
        <v>0</v>
      </c>
    </row>
    <row r="250" spans="1:17" s="1" customFormat="1" x14ac:dyDescent="0.2">
      <c r="A250" s="1" t="s">
        <v>77</v>
      </c>
      <c r="B250" s="1">
        <v>7</v>
      </c>
      <c r="C250" s="1">
        <v>-0.69767571428571395</v>
      </c>
      <c r="D250" s="1">
        <v>1.37870291931531</v>
      </c>
      <c r="E250" s="1" t="s">
        <v>76</v>
      </c>
      <c r="F250" s="1" t="s">
        <v>302</v>
      </c>
      <c r="G250" s="1" t="s">
        <v>77</v>
      </c>
      <c r="H250" s="1">
        <v>7</v>
      </c>
      <c r="I250" s="1">
        <v>-0.69767571428571395</v>
      </c>
      <c r="J250" s="1">
        <v>1.37870291931531</v>
      </c>
      <c r="O250" s="1">
        <f t="shared" si="9"/>
        <v>-0.69767571428571395</v>
      </c>
      <c r="P250" s="1">
        <f t="shared" si="10"/>
        <v>0</v>
      </c>
      <c r="Q250" s="1">
        <f t="shared" si="11"/>
        <v>0</v>
      </c>
    </row>
    <row r="251" spans="1:17" s="1" customFormat="1" x14ac:dyDescent="0.2">
      <c r="A251" s="1" t="s">
        <v>56</v>
      </c>
      <c r="B251" s="1">
        <v>10</v>
      </c>
      <c r="C251" s="1">
        <v>0.388548</v>
      </c>
      <c r="D251" s="1">
        <v>0.94956471628729799</v>
      </c>
      <c r="E251" s="1" t="s">
        <v>55</v>
      </c>
      <c r="F251" s="1" t="s">
        <v>302</v>
      </c>
      <c r="G251" s="1" t="s">
        <v>56</v>
      </c>
      <c r="H251" s="1">
        <v>10</v>
      </c>
      <c r="I251" s="1">
        <v>0.388548</v>
      </c>
      <c r="J251" s="1">
        <v>0.94956471628729799</v>
      </c>
      <c r="O251" s="1">
        <f t="shared" si="9"/>
        <v>0.388548</v>
      </c>
      <c r="P251" s="1">
        <f t="shared" si="10"/>
        <v>0</v>
      </c>
      <c r="Q251" s="1">
        <f t="shared" si="11"/>
        <v>0</v>
      </c>
    </row>
    <row r="252" spans="1:17" s="1" customFormat="1" x14ac:dyDescent="0.2">
      <c r="A252" s="1" t="s">
        <v>36</v>
      </c>
      <c r="B252" s="1">
        <v>7</v>
      </c>
      <c r="C252" s="1">
        <v>-6.4271428571428604E-3</v>
      </c>
      <c r="D252" s="1">
        <v>1.10921236748896</v>
      </c>
      <c r="E252" s="1" t="s">
        <v>302</v>
      </c>
      <c r="F252" s="1" t="s">
        <v>35</v>
      </c>
      <c r="K252" s="1" t="s">
        <v>36</v>
      </c>
      <c r="L252" s="1">
        <v>7</v>
      </c>
      <c r="M252" s="1">
        <v>-6.4271428571428804E-3</v>
      </c>
      <c r="N252" s="1">
        <v>1.10921236748896</v>
      </c>
      <c r="O252" s="1">
        <f t="shared" si="9"/>
        <v>-6.4271428571428804E-3</v>
      </c>
      <c r="P252" s="1">
        <f t="shared" si="10"/>
        <v>1.9949319973733282E-17</v>
      </c>
      <c r="Q252" s="1">
        <f t="shared" si="11"/>
        <v>0</v>
      </c>
    </row>
    <row r="253" spans="1:17" s="1" customFormat="1" x14ac:dyDescent="0.2">
      <c r="A253" s="1" t="s">
        <v>97</v>
      </c>
      <c r="B253" s="1">
        <v>11</v>
      </c>
      <c r="C253" s="1">
        <v>-0.67713818181818097</v>
      </c>
      <c r="D253" s="1">
        <v>0.53652474380625104</v>
      </c>
      <c r="E253" s="1" t="s">
        <v>302</v>
      </c>
      <c r="F253" s="1" t="s">
        <v>96</v>
      </c>
      <c r="K253" s="1" t="s">
        <v>97</v>
      </c>
      <c r="L253" s="1">
        <v>11</v>
      </c>
      <c r="M253" s="1">
        <v>-0.67713818181818197</v>
      </c>
      <c r="N253" s="1">
        <v>0.53652474380625104</v>
      </c>
      <c r="O253" s="1">
        <f t="shared" si="9"/>
        <v>-0.67713818181818197</v>
      </c>
      <c r="P253" s="1">
        <f t="shared" si="10"/>
        <v>9.9920072216264089E-16</v>
      </c>
      <c r="Q253" s="1">
        <f t="shared" si="11"/>
        <v>0</v>
      </c>
    </row>
    <row r="254" spans="1:17" s="1" customFormat="1" x14ac:dyDescent="0.2">
      <c r="A254" s="1" t="s">
        <v>62</v>
      </c>
      <c r="B254" s="1">
        <v>10</v>
      </c>
      <c r="C254" s="1">
        <v>-0.77134099999999906</v>
      </c>
      <c r="D254" s="1">
        <v>0.73984927907198295</v>
      </c>
      <c r="E254" s="1" t="s">
        <v>60</v>
      </c>
      <c r="F254" s="1" t="s">
        <v>302</v>
      </c>
      <c r="G254" s="1" t="s">
        <v>62</v>
      </c>
      <c r="H254" s="1">
        <v>10</v>
      </c>
      <c r="I254" s="1">
        <v>-0.77134100000000005</v>
      </c>
      <c r="J254" s="1">
        <v>0.73984927907198295</v>
      </c>
      <c r="O254" s="1">
        <f t="shared" si="9"/>
        <v>-0.77134100000000005</v>
      </c>
      <c r="P254" s="1">
        <f t="shared" si="10"/>
        <v>9.9920072216264089E-16</v>
      </c>
      <c r="Q254" s="1">
        <f t="shared" si="11"/>
        <v>0</v>
      </c>
    </row>
    <row r="255" spans="1:17" s="1" customFormat="1" x14ac:dyDescent="0.2">
      <c r="A255" s="1" t="s">
        <v>303</v>
      </c>
      <c r="B255" s="1">
        <v>3</v>
      </c>
      <c r="C255" s="1">
        <v>3.4144999999999999</v>
      </c>
      <c r="D255" s="1">
        <v>2.0299532925661099</v>
      </c>
      <c r="E255" s="1" t="s">
        <v>127</v>
      </c>
      <c r="F255" s="1" t="s">
        <v>61</v>
      </c>
      <c r="G255" s="1" t="s">
        <v>128</v>
      </c>
      <c r="H255" s="1">
        <v>10</v>
      </c>
      <c r="I255" s="1">
        <v>1.880876</v>
      </c>
      <c r="J255" s="1">
        <v>1.92300027836249</v>
      </c>
      <c r="K255" s="1" t="s">
        <v>63</v>
      </c>
      <c r="L255" s="1">
        <v>8</v>
      </c>
      <c r="M255" s="1">
        <v>1.5330999999999999</v>
      </c>
      <c r="N255" s="1">
        <v>3.6639506145026401</v>
      </c>
      <c r="O255" s="1">
        <f t="shared" si="9"/>
        <v>3.4139759999999999</v>
      </c>
      <c r="P255" s="1">
        <f t="shared" si="10"/>
        <v>5.2399999999996894E-4</v>
      </c>
      <c r="Q255" s="1">
        <f t="shared" si="11"/>
        <v>1</v>
      </c>
    </row>
    <row r="256" spans="1:17" s="1" customFormat="1" x14ac:dyDescent="0.2">
      <c r="A256" s="1" t="s">
        <v>135</v>
      </c>
      <c r="B256" s="1">
        <v>2</v>
      </c>
      <c r="C256" s="1">
        <v>-0.1487</v>
      </c>
      <c r="D256" s="1">
        <v>1.15986725318029</v>
      </c>
      <c r="E256" s="1" t="s">
        <v>103</v>
      </c>
      <c r="F256" s="1" t="s">
        <v>28</v>
      </c>
      <c r="G256" s="1" t="s">
        <v>104</v>
      </c>
      <c r="H256" s="1">
        <v>9</v>
      </c>
      <c r="I256" s="1">
        <v>-0.102438888888888</v>
      </c>
      <c r="J256" s="1">
        <v>1.10975557567245</v>
      </c>
      <c r="K256" s="1" t="s">
        <v>58</v>
      </c>
      <c r="L256" s="1">
        <v>13</v>
      </c>
      <c r="M256" s="1">
        <v>-5.0181538461538402E-2</v>
      </c>
      <c r="N256" s="1">
        <v>1.17547401340796</v>
      </c>
      <c r="O256" s="1">
        <f t="shared" si="9"/>
        <v>-0.15262042735042641</v>
      </c>
      <c r="P256" s="1">
        <f t="shared" si="10"/>
        <v>3.9204273504264142E-3</v>
      </c>
      <c r="Q256" s="1">
        <f t="shared" si="11"/>
        <v>1</v>
      </c>
    </row>
    <row r="257" spans="1:17" s="1" customFormat="1" x14ac:dyDescent="0.2">
      <c r="A257" s="1" t="s">
        <v>305</v>
      </c>
      <c r="B257" s="1">
        <v>2</v>
      </c>
      <c r="C257" s="1">
        <v>0.96470499999999904</v>
      </c>
      <c r="D257" s="1">
        <v>0.30772580010457301</v>
      </c>
      <c r="E257" s="1" t="s">
        <v>60</v>
      </c>
      <c r="F257" s="1" t="s">
        <v>21</v>
      </c>
      <c r="G257" s="1" t="s">
        <v>62</v>
      </c>
      <c r="H257" s="1">
        <v>10</v>
      </c>
      <c r="I257" s="1">
        <v>-0.77134100000000005</v>
      </c>
      <c r="J257" s="1">
        <v>0.73984927907198295</v>
      </c>
      <c r="K257" s="1" t="s">
        <v>23</v>
      </c>
      <c r="L257" s="1">
        <v>12</v>
      </c>
      <c r="M257" s="1">
        <v>1.7208699999999999</v>
      </c>
      <c r="N257" s="1">
        <v>2.0255937970697002</v>
      </c>
      <c r="O257" s="1">
        <f t="shared" si="9"/>
        <v>0.94952899999999985</v>
      </c>
      <c r="P257" s="1">
        <f t="shared" si="10"/>
        <v>1.517599999999919E-2</v>
      </c>
      <c r="Q257" s="1">
        <f t="shared" si="11"/>
        <v>1</v>
      </c>
    </row>
    <row r="258" spans="1:17" s="1" customFormat="1" x14ac:dyDescent="0.2">
      <c r="A258" s="1" t="s">
        <v>306</v>
      </c>
      <c r="B258" s="1">
        <v>2</v>
      </c>
      <c r="C258" s="1">
        <v>0.87822</v>
      </c>
      <c r="D258" s="1">
        <v>0.102558767543296</v>
      </c>
      <c r="E258" s="1" t="s">
        <v>85</v>
      </c>
      <c r="F258" s="1" t="s">
        <v>66</v>
      </c>
      <c r="G258" s="1" t="s">
        <v>86</v>
      </c>
      <c r="H258" s="1">
        <v>11</v>
      </c>
      <c r="I258" s="1">
        <v>0.89274545454545395</v>
      </c>
      <c r="J258" s="1">
        <v>0.61421292855757503</v>
      </c>
      <c r="K258" s="1" t="s">
        <v>67</v>
      </c>
      <c r="L258" s="1">
        <v>7</v>
      </c>
      <c r="M258" s="1">
        <v>-3.6201428571428503E-2</v>
      </c>
      <c r="N258" s="1">
        <v>1.14054237817552</v>
      </c>
      <c r="O258" s="1">
        <f t="shared" ref="O258:O296" si="12">I258+M258</f>
        <v>0.85654402597402546</v>
      </c>
      <c r="P258" s="1">
        <f t="shared" ref="P258:P296" si="13">C258-O258</f>
        <v>2.1675974025974543E-2</v>
      </c>
      <c r="Q258" s="1">
        <f t="shared" ref="Q258:Q296" si="14">IF(OR(E258="NT",F258="NT",E258="NTC",F258="NTC"),0,1)</f>
        <v>1</v>
      </c>
    </row>
    <row r="259" spans="1:17" s="1" customFormat="1" x14ac:dyDescent="0.2">
      <c r="A259" s="1" t="s">
        <v>307</v>
      </c>
      <c r="B259" s="1">
        <v>4</v>
      </c>
      <c r="C259" s="1">
        <v>2.393E-2</v>
      </c>
      <c r="D259" s="1">
        <v>1.63334748934001</v>
      </c>
      <c r="E259" s="1" t="s">
        <v>73</v>
      </c>
      <c r="F259" s="1" t="s">
        <v>35</v>
      </c>
      <c r="G259" s="1" t="s">
        <v>74</v>
      </c>
      <c r="H259" s="1">
        <v>7</v>
      </c>
      <c r="I259" s="1">
        <v>-3.2529999999999899E-2</v>
      </c>
      <c r="J259" s="1">
        <v>1.4564495190817</v>
      </c>
      <c r="K259" s="1" t="s">
        <v>36</v>
      </c>
      <c r="L259" s="1">
        <v>7</v>
      </c>
      <c r="M259" s="1">
        <v>-6.4271428571428804E-3</v>
      </c>
      <c r="N259" s="1">
        <v>1.10921236748896</v>
      </c>
      <c r="O259" s="1">
        <f t="shared" si="12"/>
        <v>-3.8957142857142781E-2</v>
      </c>
      <c r="P259" s="1">
        <f t="shared" si="13"/>
        <v>6.288714285714278E-2</v>
      </c>
      <c r="Q259" s="1">
        <f t="shared" si="14"/>
        <v>1</v>
      </c>
    </row>
    <row r="260" spans="1:17" s="1" customFormat="1" x14ac:dyDescent="0.2">
      <c r="A260" s="1" t="s">
        <v>308</v>
      </c>
      <c r="B260" s="1">
        <v>1</v>
      </c>
      <c r="C260" s="1">
        <v>1.7331000000000001</v>
      </c>
      <c r="E260" s="1" t="s">
        <v>79</v>
      </c>
      <c r="F260" s="1" t="s">
        <v>51</v>
      </c>
      <c r="G260" s="1" t="s">
        <v>80</v>
      </c>
      <c r="H260" s="1">
        <v>9</v>
      </c>
      <c r="I260" s="1">
        <v>1.3406211111111099</v>
      </c>
      <c r="J260" s="1">
        <v>0.51772118839304904</v>
      </c>
      <c r="K260" s="1" t="s">
        <v>29</v>
      </c>
      <c r="L260" s="1">
        <v>11</v>
      </c>
      <c r="M260" s="1">
        <v>0.28300999999999998</v>
      </c>
      <c r="N260" s="1">
        <v>1.4668923681374799</v>
      </c>
      <c r="O260" s="1">
        <f t="shared" si="12"/>
        <v>1.6236311111111099</v>
      </c>
      <c r="P260" s="1">
        <f t="shared" si="13"/>
        <v>0.10946888888889017</v>
      </c>
      <c r="Q260" s="1">
        <f t="shared" si="14"/>
        <v>1</v>
      </c>
    </row>
    <row r="261" spans="1:17" s="1" customFormat="1" x14ac:dyDescent="0.2">
      <c r="A261" s="1" t="s">
        <v>309</v>
      </c>
      <c r="B261" s="1">
        <v>6</v>
      </c>
      <c r="C261" s="1">
        <v>-1.1390533333333299</v>
      </c>
      <c r="D261" s="1">
        <v>0.29296024779253999</v>
      </c>
      <c r="E261" s="1" t="s">
        <v>76</v>
      </c>
      <c r="F261" s="1" t="s">
        <v>111</v>
      </c>
      <c r="G261" s="1" t="s">
        <v>77</v>
      </c>
      <c r="H261" s="1">
        <v>7</v>
      </c>
      <c r="I261" s="1">
        <v>-0.69767571428571395</v>
      </c>
      <c r="J261" s="1">
        <v>1.37870291931531</v>
      </c>
      <c r="K261" s="1" t="s">
        <v>112</v>
      </c>
      <c r="L261" s="1">
        <v>8</v>
      </c>
      <c r="M261" s="1">
        <v>-0.57354125</v>
      </c>
      <c r="N261" s="1">
        <v>1.08103701105449</v>
      </c>
      <c r="O261" s="1">
        <f t="shared" si="12"/>
        <v>-1.2712169642857138</v>
      </c>
      <c r="P261" s="1">
        <f t="shared" si="13"/>
        <v>0.13216363095238393</v>
      </c>
      <c r="Q261" s="1">
        <f t="shared" si="14"/>
        <v>1</v>
      </c>
    </row>
    <row r="262" spans="1:17" s="1" customFormat="1" x14ac:dyDescent="0.2">
      <c r="A262" s="1" t="s">
        <v>310</v>
      </c>
      <c r="B262" s="1">
        <v>3</v>
      </c>
      <c r="C262" s="1">
        <v>-0.29569999999999902</v>
      </c>
      <c r="D262" s="1">
        <v>1.7286770403982299</v>
      </c>
      <c r="E262" s="1" t="s">
        <v>99</v>
      </c>
      <c r="F262" s="1" t="s">
        <v>41</v>
      </c>
      <c r="G262" s="1" t="s">
        <v>100</v>
      </c>
      <c r="H262" s="1">
        <v>9</v>
      </c>
      <c r="I262" s="1">
        <v>-8.8165555555555497E-2</v>
      </c>
      <c r="J262" s="1">
        <v>1.19505751278035</v>
      </c>
      <c r="K262" s="1" t="s">
        <v>42</v>
      </c>
      <c r="L262" s="1">
        <v>8</v>
      </c>
      <c r="M262" s="1">
        <v>-0.36432874999999998</v>
      </c>
      <c r="N262" s="1">
        <v>1.09705879965397</v>
      </c>
      <c r="O262" s="1">
        <f t="shared" si="12"/>
        <v>-0.45249430555555548</v>
      </c>
      <c r="P262" s="1">
        <f t="shared" si="13"/>
        <v>0.15679430555555646</v>
      </c>
      <c r="Q262" s="1">
        <f t="shared" si="14"/>
        <v>1</v>
      </c>
    </row>
    <row r="263" spans="1:17" s="1" customFormat="1" x14ac:dyDescent="0.2">
      <c r="A263" s="1" t="s">
        <v>311</v>
      </c>
      <c r="B263" s="1">
        <v>2</v>
      </c>
      <c r="C263" s="1">
        <v>-0.94523000000000001</v>
      </c>
      <c r="D263" s="1">
        <v>0.23075722697241699</v>
      </c>
      <c r="E263" s="1" t="s">
        <v>60</v>
      </c>
      <c r="F263" s="1" t="s">
        <v>41</v>
      </c>
      <c r="G263" s="1" t="s">
        <v>62</v>
      </c>
      <c r="H263" s="1">
        <v>10</v>
      </c>
      <c r="I263" s="1">
        <v>-0.77134100000000005</v>
      </c>
      <c r="J263" s="1">
        <v>0.73984927907198295</v>
      </c>
      <c r="K263" s="1" t="s">
        <v>42</v>
      </c>
      <c r="L263" s="1">
        <v>8</v>
      </c>
      <c r="M263" s="1">
        <v>-0.36432874999999998</v>
      </c>
      <c r="N263" s="1">
        <v>1.09705879965397</v>
      </c>
      <c r="O263" s="1">
        <f t="shared" si="12"/>
        <v>-1.1356697499999999</v>
      </c>
      <c r="P263" s="1">
        <f t="shared" si="13"/>
        <v>0.19043974999999991</v>
      </c>
      <c r="Q263" s="1">
        <f t="shared" si="14"/>
        <v>1</v>
      </c>
    </row>
    <row r="264" spans="1:17" s="1" customFormat="1" x14ac:dyDescent="0.2">
      <c r="A264" s="1" t="s">
        <v>312</v>
      </c>
      <c r="B264" s="1">
        <v>4</v>
      </c>
      <c r="C264" s="1">
        <v>-0.82027499999999998</v>
      </c>
      <c r="D264" s="1">
        <v>1.19212448515245</v>
      </c>
      <c r="E264" s="1" t="s">
        <v>103</v>
      </c>
      <c r="F264" s="1" t="s">
        <v>170</v>
      </c>
      <c r="G264" s="1" t="s">
        <v>104</v>
      </c>
      <c r="H264" s="1">
        <v>9</v>
      </c>
      <c r="I264" s="1">
        <v>-0.102438888888888</v>
      </c>
      <c r="J264" s="1">
        <v>1.10975557567245</v>
      </c>
      <c r="K264" s="1" t="s">
        <v>171</v>
      </c>
      <c r="L264" s="1">
        <v>12</v>
      </c>
      <c r="M264" s="1">
        <v>-0.91476500000000005</v>
      </c>
      <c r="N264" s="1">
        <v>1.14711629868117</v>
      </c>
      <c r="O264" s="1">
        <f t="shared" si="12"/>
        <v>-1.0172038888888881</v>
      </c>
      <c r="P264" s="1">
        <f t="shared" si="13"/>
        <v>0.19692888888888815</v>
      </c>
      <c r="Q264" s="1">
        <f t="shared" si="14"/>
        <v>1</v>
      </c>
    </row>
    <row r="265" spans="1:17" s="1" customFormat="1" x14ac:dyDescent="0.2">
      <c r="A265" s="1" t="s">
        <v>313</v>
      </c>
      <c r="B265" s="1">
        <v>3</v>
      </c>
      <c r="C265" s="1">
        <v>0.304966666666666</v>
      </c>
      <c r="D265" s="1">
        <v>1.01493694919109</v>
      </c>
      <c r="E265" s="1" t="s">
        <v>73</v>
      </c>
      <c r="F265" s="1" t="s">
        <v>115</v>
      </c>
      <c r="G265" s="1" t="s">
        <v>74</v>
      </c>
      <c r="H265" s="1">
        <v>7</v>
      </c>
      <c r="I265" s="1">
        <v>-3.2529999999999899E-2</v>
      </c>
      <c r="J265" s="1">
        <v>1.4564495190817</v>
      </c>
      <c r="K265" s="1" t="s">
        <v>117</v>
      </c>
      <c r="L265" s="1">
        <v>9</v>
      </c>
      <c r="M265" s="1">
        <v>0.137493333333333</v>
      </c>
      <c r="N265" s="1">
        <v>1.4100316225354601</v>
      </c>
      <c r="O265" s="1">
        <f t="shared" si="12"/>
        <v>0.1049633333333331</v>
      </c>
      <c r="P265" s="1">
        <f t="shared" si="13"/>
        <v>0.20000333333333289</v>
      </c>
      <c r="Q265" s="1">
        <f t="shared" si="14"/>
        <v>1</v>
      </c>
    </row>
    <row r="266" spans="1:17" s="1" customFormat="1" x14ac:dyDescent="0.2">
      <c r="A266" s="1" t="s">
        <v>314</v>
      </c>
      <c r="B266" s="1">
        <v>3</v>
      </c>
      <c r="C266" s="1">
        <v>4.8900333333333297</v>
      </c>
      <c r="D266" s="1">
        <v>5.12309982367446</v>
      </c>
      <c r="E266" s="1" t="s">
        <v>20</v>
      </c>
      <c r="F266" s="1" t="s">
        <v>31</v>
      </c>
      <c r="G266" s="1" t="s">
        <v>22</v>
      </c>
      <c r="H266" s="1">
        <v>11</v>
      </c>
      <c r="I266" s="1">
        <v>3.5028990909090898</v>
      </c>
      <c r="J266" s="1">
        <v>3.7668957679777999</v>
      </c>
      <c r="K266" s="1" t="s">
        <v>33</v>
      </c>
      <c r="L266" s="1">
        <v>13</v>
      </c>
      <c r="M266" s="1">
        <v>1.12689461538461</v>
      </c>
      <c r="N266" s="1">
        <v>2.6514113909218699</v>
      </c>
      <c r="O266" s="1">
        <f t="shared" si="12"/>
        <v>4.6297937062937002</v>
      </c>
      <c r="P266" s="1">
        <f t="shared" si="13"/>
        <v>0.26023962703962944</v>
      </c>
      <c r="Q266" s="1">
        <f t="shared" si="14"/>
        <v>1</v>
      </c>
    </row>
    <row r="267" spans="1:17" s="1" customFormat="1" x14ac:dyDescent="0.2">
      <c r="A267" s="1" t="s">
        <v>315</v>
      </c>
      <c r="B267" s="1">
        <v>2</v>
      </c>
      <c r="C267" s="1">
        <v>1.0857349999999999</v>
      </c>
      <c r="D267" s="1">
        <v>0.58147511937313301</v>
      </c>
      <c r="E267" s="1" t="s">
        <v>55</v>
      </c>
      <c r="F267" s="1" t="s">
        <v>70</v>
      </c>
      <c r="G267" s="1" t="s">
        <v>56</v>
      </c>
      <c r="H267" s="1">
        <v>10</v>
      </c>
      <c r="I267" s="1">
        <v>0.388548</v>
      </c>
      <c r="J267" s="1">
        <v>0.94956471628729799</v>
      </c>
      <c r="K267" s="1" t="s">
        <v>71</v>
      </c>
      <c r="L267" s="1">
        <v>9</v>
      </c>
      <c r="M267" s="1">
        <v>0.436627777777777</v>
      </c>
      <c r="N267" s="1">
        <v>1.6967771336844499</v>
      </c>
      <c r="O267" s="1">
        <f t="shared" si="12"/>
        <v>0.82517577777777706</v>
      </c>
      <c r="P267" s="1">
        <f t="shared" si="13"/>
        <v>0.26055922222222283</v>
      </c>
      <c r="Q267" s="1">
        <f t="shared" si="14"/>
        <v>1</v>
      </c>
    </row>
    <row r="268" spans="1:17" s="1" customFormat="1" x14ac:dyDescent="0.2">
      <c r="A268" s="1" t="s">
        <v>316</v>
      </c>
      <c r="B268" s="1">
        <v>2</v>
      </c>
      <c r="C268" s="1">
        <v>0.82914500000000002</v>
      </c>
      <c r="D268" s="1">
        <v>0.22376394090648299</v>
      </c>
      <c r="E268" s="1" t="s">
        <v>93</v>
      </c>
      <c r="F268" s="1" t="s">
        <v>115</v>
      </c>
      <c r="G268" s="1" t="s">
        <v>94</v>
      </c>
      <c r="H268" s="1">
        <v>6</v>
      </c>
      <c r="I268" s="1">
        <v>0.42126999999999998</v>
      </c>
      <c r="J268" s="1">
        <v>0.93603800183539498</v>
      </c>
      <c r="K268" s="1" t="s">
        <v>117</v>
      </c>
      <c r="L268" s="1">
        <v>9</v>
      </c>
      <c r="M268" s="1">
        <v>0.137493333333333</v>
      </c>
      <c r="N268" s="1">
        <v>1.4100316225354601</v>
      </c>
      <c r="O268" s="1">
        <f t="shared" si="12"/>
        <v>0.55876333333333295</v>
      </c>
      <c r="P268" s="1">
        <f t="shared" si="13"/>
        <v>0.27038166666666708</v>
      </c>
      <c r="Q268" s="1">
        <f t="shared" si="14"/>
        <v>1</v>
      </c>
    </row>
    <row r="269" spans="1:17" s="1" customFormat="1" x14ac:dyDescent="0.2">
      <c r="A269" s="1" t="s">
        <v>317</v>
      </c>
      <c r="B269" s="1">
        <v>3</v>
      </c>
      <c r="C269" s="1">
        <v>-1.37536666666666</v>
      </c>
      <c r="D269" s="1">
        <v>0.25514498492687099</v>
      </c>
      <c r="E269" s="1" t="s">
        <v>60</v>
      </c>
      <c r="F269" s="1" t="s">
        <v>170</v>
      </c>
      <c r="G269" s="1" t="s">
        <v>62</v>
      </c>
      <c r="H269" s="1">
        <v>10</v>
      </c>
      <c r="I269" s="1">
        <v>-0.77134100000000005</v>
      </c>
      <c r="J269" s="1">
        <v>0.73984927907198295</v>
      </c>
      <c r="K269" s="1" t="s">
        <v>171</v>
      </c>
      <c r="L269" s="1">
        <v>12</v>
      </c>
      <c r="M269" s="1">
        <v>-0.91476500000000005</v>
      </c>
      <c r="N269" s="1">
        <v>1.14711629868117</v>
      </c>
      <c r="O269" s="1">
        <f t="shared" si="12"/>
        <v>-1.6861060000000001</v>
      </c>
      <c r="P269" s="1">
        <f t="shared" si="13"/>
        <v>0.31073933333334014</v>
      </c>
      <c r="Q269" s="1">
        <f t="shared" si="14"/>
        <v>1</v>
      </c>
    </row>
    <row r="270" spans="1:17" s="1" customFormat="1" x14ac:dyDescent="0.2">
      <c r="A270" s="1" t="s">
        <v>318</v>
      </c>
      <c r="B270" s="1">
        <v>1</v>
      </c>
      <c r="C270" s="1">
        <v>2.0122</v>
      </c>
      <c r="E270" s="1" t="s">
        <v>55</v>
      </c>
      <c r="F270" s="1" t="s">
        <v>44</v>
      </c>
      <c r="G270" s="1" t="s">
        <v>56</v>
      </c>
      <c r="H270" s="1">
        <v>10</v>
      </c>
      <c r="I270" s="1">
        <v>0.388548</v>
      </c>
      <c r="J270" s="1">
        <v>0.94956471628729799</v>
      </c>
      <c r="K270" s="1" t="s">
        <v>45</v>
      </c>
      <c r="L270" s="1">
        <v>9</v>
      </c>
      <c r="M270" s="1">
        <v>1.2713288888888801</v>
      </c>
      <c r="N270" s="1">
        <v>2.2624284591641999</v>
      </c>
      <c r="O270" s="1">
        <f t="shared" si="12"/>
        <v>1.65987688888888</v>
      </c>
      <c r="P270" s="1">
        <f t="shared" si="13"/>
        <v>0.35232311111112002</v>
      </c>
      <c r="Q270" s="1">
        <f t="shared" si="14"/>
        <v>1</v>
      </c>
    </row>
    <row r="271" spans="1:17" s="1" customFormat="1" x14ac:dyDescent="0.2">
      <c r="A271" s="1" t="s">
        <v>319</v>
      </c>
      <c r="B271" s="1">
        <v>3</v>
      </c>
      <c r="C271" s="1">
        <v>2.70333333333333</v>
      </c>
      <c r="D271" s="1">
        <v>2.15030131454485</v>
      </c>
      <c r="E271" s="1" t="s">
        <v>127</v>
      </c>
      <c r="F271" s="1" t="s">
        <v>70</v>
      </c>
      <c r="G271" s="1" t="s">
        <v>128</v>
      </c>
      <c r="H271" s="1">
        <v>10</v>
      </c>
      <c r="I271" s="1">
        <v>1.880876</v>
      </c>
      <c r="J271" s="1">
        <v>1.92300027836249</v>
      </c>
      <c r="K271" s="1" t="s">
        <v>71</v>
      </c>
      <c r="L271" s="1">
        <v>9</v>
      </c>
      <c r="M271" s="1">
        <v>0.436627777777777</v>
      </c>
      <c r="N271" s="1">
        <v>1.6967771336844499</v>
      </c>
      <c r="O271" s="1">
        <f t="shared" si="12"/>
        <v>2.3175037777777772</v>
      </c>
      <c r="P271" s="1">
        <f t="shared" si="13"/>
        <v>0.38582955555555287</v>
      </c>
      <c r="Q271" s="1">
        <f t="shared" si="14"/>
        <v>1</v>
      </c>
    </row>
    <row r="272" spans="1:17" s="1" customFormat="1" x14ac:dyDescent="0.2">
      <c r="A272" s="1" t="s">
        <v>320</v>
      </c>
      <c r="B272" s="1">
        <v>3</v>
      </c>
      <c r="C272" s="1">
        <v>-0.30846999999999902</v>
      </c>
      <c r="D272" s="1">
        <v>1.0042377145377399</v>
      </c>
      <c r="E272" s="1" t="s">
        <v>73</v>
      </c>
      <c r="F272" s="1" t="s">
        <v>96</v>
      </c>
      <c r="G272" s="1" t="s">
        <v>74</v>
      </c>
      <c r="H272" s="1">
        <v>7</v>
      </c>
      <c r="I272" s="1">
        <v>-3.2529999999999899E-2</v>
      </c>
      <c r="J272" s="1">
        <v>1.4564495190817</v>
      </c>
      <c r="K272" s="1" t="s">
        <v>97</v>
      </c>
      <c r="L272" s="1">
        <v>11</v>
      </c>
      <c r="M272" s="1">
        <v>-0.67713818181818197</v>
      </c>
      <c r="N272" s="1">
        <v>0.53652474380625104</v>
      </c>
      <c r="O272" s="1">
        <f t="shared" si="12"/>
        <v>-0.70966818181818192</v>
      </c>
      <c r="P272" s="1">
        <f t="shared" si="13"/>
        <v>0.4011981818181829</v>
      </c>
      <c r="Q272" s="1">
        <f t="shared" si="14"/>
        <v>1</v>
      </c>
    </row>
    <row r="273" spans="1:17" s="1" customFormat="1" x14ac:dyDescent="0.2">
      <c r="A273" s="1" t="s">
        <v>321</v>
      </c>
      <c r="B273" s="1">
        <v>2</v>
      </c>
      <c r="C273" s="1">
        <v>-0.31816499999999998</v>
      </c>
      <c r="D273" s="1">
        <v>1.4183642791786599</v>
      </c>
      <c r="E273" s="1" t="s">
        <v>76</v>
      </c>
      <c r="F273" s="1" t="s">
        <v>66</v>
      </c>
      <c r="G273" s="1" t="s">
        <v>77</v>
      </c>
      <c r="H273" s="1">
        <v>7</v>
      </c>
      <c r="I273" s="1">
        <v>-0.69767571428571395</v>
      </c>
      <c r="J273" s="1">
        <v>1.37870291931531</v>
      </c>
      <c r="K273" s="1" t="s">
        <v>67</v>
      </c>
      <c r="L273" s="1">
        <v>7</v>
      </c>
      <c r="M273" s="1">
        <v>-3.6201428571428503E-2</v>
      </c>
      <c r="N273" s="1">
        <v>1.14054237817552</v>
      </c>
      <c r="O273" s="1">
        <f t="shared" si="12"/>
        <v>-0.73387714285714245</v>
      </c>
      <c r="P273" s="1">
        <f t="shared" si="13"/>
        <v>0.41571214285714247</v>
      </c>
      <c r="Q273" s="1">
        <f t="shared" si="14"/>
        <v>1</v>
      </c>
    </row>
    <row r="274" spans="1:17" s="1" customFormat="1" x14ac:dyDescent="0.2">
      <c r="A274" s="1" t="s">
        <v>322</v>
      </c>
      <c r="B274" s="1">
        <v>1</v>
      </c>
      <c r="C274" s="1">
        <v>0.77644999999999997</v>
      </c>
      <c r="E274" s="1" t="s">
        <v>55</v>
      </c>
      <c r="F274" s="1" t="s">
        <v>66</v>
      </c>
      <c r="G274" s="1" t="s">
        <v>56</v>
      </c>
      <c r="H274" s="1">
        <v>10</v>
      </c>
      <c r="I274" s="1">
        <v>0.388548</v>
      </c>
      <c r="J274" s="1">
        <v>0.94956471628729799</v>
      </c>
      <c r="K274" s="1" t="s">
        <v>67</v>
      </c>
      <c r="L274" s="1">
        <v>7</v>
      </c>
      <c r="M274" s="1">
        <v>-3.6201428571428503E-2</v>
      </c>
      <c r="N274" s="1">
        <v>1.14054237817552</v>
      </c>
      <c r="O274" s="1">
        <f t="shared" si="12"/>
        <v>0.35234657142857151</v>
      </c>
      <c r="P274" s="1">
        <f t="shared" si="13"/>
        <v>0.42410342857142846</v>
      </c>
      <c r="Q274" s="1">
        <f t="shared" si="14"/>
        <v>1</v>
      </c>
    </row>
    <row r="275" spans="1:17" s="1" customFormat="1" x14ac:dyDescent="0.2">
      <c r="A275" s="1" t="s">
        <v>323</v>
      </c>
      <c r="B275" s="1">
        <v>2</v>
      </c>
      <c r="C275" s="1">
        <v>-1.1738</v>
      </c>
      <c r="D275" s="1">
        <v>0.15556349186103999</v>
      </c>
      <c r="E275" s="1" t="s">
        <v>76</v>
      </c>
      <c r="F275" s="1" t="s">
        <v>170</v>
      </c>
      <c r="G275" s="1" t="s">
        <v>77</v>
      </c>
      <c r="H275" s="1">
        <v>7</v>
      </c>
      <c r="I275" s="1">
        <v>-0.69767571428571395</v>
      </c>
      <c r="J275" s="1">
        <v>1.37870291931531</v>
      </c>
      <c r="K275" s="1" t="s">
        <v>171</v>
      </c>
      <c r="L275" s="1">
        <v>12</v>
      </c>
      <c r="M275" s="1">
        <v>-0.91476500000000005</v>
      </c>
      <c r="N275" s="1">
        <v>1.14711629868117</v>
      </c>
      <c r="O275" s="1">
        <f t="shared" si="12"/>
        <v>-1.612440714285714</v>
      </c>
      <c r="P275" s="1">
        <f t="shared" si="13"/>
        <v>0.43864071428571405</v>
      </c>
      <c r="Q275" s="1">
        <f t="shared" si="14"/>
        <v>1</v>
      </c>
    </row>
    <row r="276" spans="1:17" s="1" customFormat="1" x14ac:dyDescent="0.2">
      <c r="A276" s="1" t="s">
        <v>324</v>
      </c>
      <c r="B276" s="1">
        <v>1</v>
      </c>
      <c r="C276" s="1">
        <v>0.80720999999999998</v>
      </c>
      <c r="E276" s="1" t="s">
        <v>99</v>
      </c>
      <c r="F276" s="1" t="s">
        <v>70</v>
      </c>
      <c r="G276" s="1" t="s">
        <v>100</v>
      </c>
      <c r="H276" s="1">
        <v>9</v>
      </c>
      <c r="I276" s="1">
        <v>-8.8165555555555497E-2</v>
      </c>
      <c r="J276" s="1">
        <v>1.19505751278035</v>
      </c>
      <c r="K276" s="1" t="s">
        <v>71</v>
      </c>
      <c r="L276" s="1">
        <v>9</v>
      </c>
      <c r="M276" s="1">
        <v>0.436627777777777</v>
      </c>
      <c r="N276" s="1">
        <v>1.6967771336844499</v>
      </c>
      <c r="O276" s="1">
        <f t="shared" si="12"/>
        <v>0.34846222222222151</v>
      </c>
      <c r="P276" s="1">
        <f t="shared" si="13"/>
        <v>0.45874777777777848</v>
      </c>
      <c r="Q276" s="1">
        <f t="shared" si="14"/>
        <v>1</v>
      </c>
    </row>
    <row r="277" spans="1:17" s="1" customFormat="1" x14ac:dyDescent="0.2">
      <c r="A277" s="1" t="s">
        <v>325</v>
      </c>
      <c r="B277" s="1">
        <v>1</v>
      </c>
      <c r="C277" s="1">
        <v>1.3531</v>
      </c>
      <c r="E277" s="1" t="s">
        <v>93</v>
      </c>
      <c r="F277" s="1" t="s">
        <v>70</v>
      </c>
      <c r="G277" s="1" t="s">
        <v>94</v>
      </c>
      <c r="H277" s="1">
        <v>6</v>
      </c>
      <c r="I277" s="1">
        <v>0.42126999999999998</v>
      </c>
      <c r="J277" s="1">
        <v>0.93603800183539498</v>
      </c>
      <c r="K277" s="1" t="s">
        <v>71</v>
      </c>
      <c r="L277" s="1">
        <v>9</v>
      </c>
      <c r="M277" s="1">
        <v>0.436627777777777</v>
      </c>
      <c r="N277" s="1">
        <v>1.6967771336844499</v>
      </c>
      <c r="O277" s="1">
        <f t="shared" si="12"/>
        <v>0.85789777777777698</v>
      </c>
      <c r="P277" s="1">
        <f t="shared" si="13"/>
        <v>0.49520222222222299</v>
      </c>
      <c r="Q277" s="1">
        <f t="shared" si="14"/>
        <v>1</v>
      </c>
    </row>
    <row r="278" spans="1:17" s="1" customFormat="1" x14ac:dyDescent="0.2">
      <c r="A278" s="1" t="s">
        <v>326</v>
      </c>
      <c r="B278" s="1">
        <v>1</v>
      </c>
      <c r="C278" s="1">
        <v>1.7934000000000001</v>
      </c>
      <c r="E278" s="1" t="s">
        <v>30</v>
      </c>
      <c r="F278" s="1" t="s">
        <v>66</v>
      </c>
      <c r="G278" s="1" t="s">
        <v>32</v>
      </c>
      <c r="H278" s="1">
        <v>4</v>
      </c>
      <c r="I278" s="1">
        <v>1.3223024999999999</v>
      </c>
      <c r="J278" s="1">
        <v>0.83827518044991201</v>
      </c>
      <c r="K278" s="1" t="s">
        <v>67</v>
      </c>
      <c r="L278" s="1">
        <v>7</v>
      </c>
      <c r="M278" s="1">
        <v>-3.6201428571428503E-2</v>
      </c>
      <c r="N278" s="1">
        <v>1.14054237817552</v>
      </c>
      <c r="O278" s="1">
        <f t="shared" si="12"/>
        <v>1.2861010714285714</v>
      </c>
      <c r="P278" s="1">
        <f t="shared" si="13"/>
        <v>0.50729892857142866</v>
      </c>
      <c r="Q278" s="1">
        <f t="shared" si="14"/>
        <v>1</v>
      </c>
    </row>
    <row r="279" spans="1:17" s="1" customFormat="1" x14ac:dyDescent="0.2">
      <c r="A279" s="1" t="s">
        <v>327</v>
      </c>
      <c r="B279" s="1">
        <v>4</v>
      </c>
      <c r="C279" s="1">
        <v>0.43698499999999901</v>
      </c>
      <c r="D279" s="1">
        <v>1.4359850268601899</v>
      </c>
      <c r="E279" s="1" t="s">
        <v>99</v>
      </c>
      <c r="F279" s="1" t="s">
        <v>66</v>
      </c>
      <c r="G279" s="1" t="s">
        <v>100</v>
      </c>
      <c r="H279" s="1">
        <v>9</v>
      </c>
      <c r="I279" s="1">
        <v>-8.8165555555555497E-2</v>
      </c>
      <c r="J279" s="1">
        <v>1.19505751278035</v>
      </c>
      <c r="K279" s="1" t="s">
        <v>67</v>
      </c>
      <c r="L279" s="1">
        <v>7</v>
      </c>
      <c r="M279" s="1">
        <v>-3.6201428571428503E-2</v>
      </c>
      <c r="N279" s="1">
        <v>1.14054237817552</v>
      </c>
      <c r="O279" s="1">
        <f t="shared" si="12"/>
        <v>-0.12436698412698399</v>
      </c>
      <c r="P279" s="1">
        <f t="shared" si="13"/>
        <v>0.56135198412698295</v>
      </c>
      <c r="Q279" s="1">
        <f t="shared" si="14"/>
        <v>1</v>
      </c>
    </row>
    <row r="280" spans="1:17" s="1" customFormat="1" x14ac:dyDescent="0.2">
      <c r="A280" s="1" t="s">
        <v>328</v>
      </c>
      <c r="B280" s="1">
        <v>3</v>
      </c>
      <c r="C280" s="1">
        <v>1.28159333333333</v>
      </c>
      <c r="D280" s="1">
        <v>1.89175772659538</v>
      </c>
      <c r="E280" s="1" t="s">
        <v>50</v>
      </c>
      <c r="F280" s="1" t="s">
        <v>170</v>
      </c>
      <c r="G280" s="1" t="s">
        <v>52</v>
      </c>
      <c r="H280" s="1">
        <v>9</v>
      </c>
      <c r="I280" s="1">
        <v>1.6130088888888801</v>
      </c>
      <c r="J280" s="1">
        <v>1.1447563417322</v>
      </c>
      <c r="K280" s="1" t="s">
        <v>171</v>
      </c>
      <c r="L280" s="1">
        <v>12</v>
      </c>
      <c r="M280" s="1">
        <v>-0.91476500000000005</v>
      </c>
      <c r="N280" s="1">
        <v>1.14711629868117</v>
      </c>
      <c r="O280" s="1">
        <f t="shared" si="12"/>
        <v>0.69824388888888</v>
      </c>
      <c r="P280" s="1">
        <f t="shared" si="13"/>
        <v>0.58334944444445003</v>
      </c>
      <c r="Q280" s="1">
        <f t="shared" si="14"/>
        <v>1</v>
      </c>
    </row>
    <row r="281" spans="1:17" s="1" customFormat="1" x14ac:dyDescent="0.2">
      <c r="A281" s="1" t="s">
        <v>329</v>
      </c>
      <c r="B281" s="1">
        <v>4</v>
      </c>
      <c r="C281" s="1">
        <v>0.51041499999999995</v>
      </c>
      <c r="D281" s="1">
        <v>1.79993612365365</v>
      </c>
      <c r="E281" s="1" t="s">
        <v>99</v>
      </c>
      <c r="F281" s="1" t="s">
        <v>35</v>
      </c>
      <c r="G281" s="1" t="s">
        <v>100</v>
      </c>
      <c r="H281" s="1">
        <v>9</v>
      </c>
      <c r="I281" s="1">
        <v>-8.8165555555555497E-2</v>
      </c>
      <c r="J281" s="1">
        <v>1.19505751278035</v>
      </c>
      <c r="K281" s="1" t="s">
        <v>36</v>
      </c>
      <c r="L281" s="1">
        <v>7</v>
      </c>
      <c r="M281" s="1">
        <v>-6.4271428571428804E-3</v>
      </c>
      <c r="N281" s="1">
        <v>1.10921236748896</v>
      </c>
      <c r="O281" s="1">
        <f t="shared" si="12"/>
        <v>-9.4592698412698378E-2</v>
      </c>
      <c r="P281" s="1">
        <f t="shared" si="13"/>
        <v>0.6050076984126983</v>
      </c>
      <c r="Q281" s="1">
        <f t="shared" si="14"/>
        <v>1</v>
      </c>
    </row>
    <row r="282" spans="1:17" s="1" customFormat="1" x14ac:dyDescent="0.2">
      <c r="A282" s="1" t="s">
        <v>330</v>
      </c>
      <c r="B282" s="1">
        <v>1</v>
      </c>
      <c r="C282" s="1">
        <v>1.877</v>
      </c>
      <c r="E282" s="1" t="s">
        <v>50</v>
      </c>
      <c r="F282" s="1" t="s">
        <v>41</v>
      </c>
      <c r="G282" s="1" t="s">
        <v>52</v>
      </c>
      <c r="H282" s="1">
        <v>9</v>
      </c>
      <c r="I282" s="1">
        <v>1.6130088888888801</v>
      </c>
      <c r="J282" s="1">
        <v>1.1447563417322</v>
      </c>
      <c r="K282" s="1" t="s">
        <v>42</v>
      </c>
      <c r="L282" s="1">
        <v>8</v>
      </c>
      <c r="M282" s="1">
        <v>-0.36432874999999998</v>
      </c>
      <c r="N282" s="1">
        <v>1.09705879965397</v>
      </c>
      <c r="O282" s="1">
        <f t="shared" si="12"/>
        <v>1.2486801388888802</v>
      </c>
      <c r="P282" s="1">
        <f t="shared" si="13"/>
        <v>0.62831986111111982</v>
      </c>
      <c r="Q282" s="1">
        <f t="shared" si="14"/>
        <v>1</v>
      </c>
    </row>
    <row r="283" spans="1:17" s="1" customFormat="1" x14ac:dyDescent="0.2">
      <c r="A283" s="1" t="s">
        <v>331</v>
      </c>
      <c r="B283" s="1">
        <v>3</v>
      </c>
      <c r="C283" s="1">
        <v>0.69526333333333301</v>
      </c>
      <c r="D283" s="1">
        <v>1.1897718340225201</v>
      </c>
      <c r="E283" s="1" t="s">
        <v>99</v>
      </c>
      <c r="F283" s="1" t="s">
        <v>115</v>
      </c>
      <c r="G283" s="1" t="s">
        <v>100</v>
      </c>
      <c r="H283" s="1">
        <v>9</v>
      </c>
      <c r="I283" s="1">
        <v>-8.8165555555555497E-2</v>
      </c>
      <c r="J283" s="1">
        <v>1.19505751278035</v>
      </c>
      <c r="K283" s="1" t="s">
        <v>117</v>
      </c>
      <c r="L283" s="1">
        <v>9</v>
      </c>
      <c r="M283" s="1">
        <v>0.137493333333333</v>
      </c>
      <c r="N283" s="1">
        <v>1.4100316225354601</v>
      </c>
      <c r="O283" s="1">
        <f t="shared" si="12"/>
        <v>4.9327777777777498E-2</v>
      </c>
      <c r="P283" s="1">
        <f t="shared" si="13"/>
        <v>0.64593555555555549</v>
      </c>
      <c r="Q283" s="1">
        <f t="shared" si="14"/>
        <v>1</v>
      </c>
    </row>
    <row r="284" spans="1:17" s="1" customFormat="1" x14ac:dyDescent="0.2">
      <c r="A284" s="1" t="s">
        <v>332</v>
      </c>
      <c r="B284" s="1">
        <v>1</v>
      </c>
      <c r="C284" s="1">
        <v>0.88793999999999995</v>
      </c>
      <c r="E284" s="1" t="s">
        <v>85</v>
      </c>
      <c r="F284" s="1" t="s">
        <v>96</v>
      </c>
      <c r="G284" s="1" t="s">
        <v>86</v>
      </c>
      <c r="H284" s="1">
        <v>11</v>
      </c>
      <c r="I284" s="1">
        <v>0.89274545454545395</v>
      </c>
      <c r="J284" s="1">
        <v>0.61421292855757503</v>
      </c>
      <c r="K284" s="1" t="s">
        <v>97</v>
      </c>
      <c r="L284" s="1">
        <v>11</v>
      </c>
      <c r="M284" s="1">
        <v>-0.67713818181818197</v>
      </c>
      <c r="N284" s="1">
        <v>0.53652474380625104</v>
      </c>
      <c r="O284" s="1">
        <f t="shared" si="12"/>
        <v>0.21560727272727198</v>
      </c>
      <c r="P284" s="1">
        <f t="shared" si="13"/>
        <v>0.67233272727272797</v>
      </c>
      <c r="Q284" s="1">
        <f t="shared" si="14"/>
        <v>1</v>
      </c>
    </row>
    <row r="285" spans="1:17" s="1" customFormat="1" x14ac:dyDescent="0.2">
      <c r="A285" s="1" t="s">
        <v>333</v>
      </c>
      <c r="B285" s="1">
        <v>2</v>
      </c>
      <c r="C285" s="1">
        <v>5.7157</v>
      </c>
      <c r="D285" s="1">
        <v>0.99178797129225105</v>
      </c>
      <c r="E285" s="1" t="s">
        <v>20</v>
      </c>
      <c r="F285" s="1" t="s">
        <v>61</v>
      </c>
      <c r="G285" s="1" t="s">
        <v>22</v>
      </c>
      <c r="H285" s="1">
        <v>11</v>
      </c>
      <c r="I285" s="1">
        <v>3.5028990909090898</v>
      </c>
      <c r="J285" s="1">
        <v>3.7668957679777999</v>
      </c>
      <c r="K285" s="1" t="s">
        <v>63</v>
      </c>
      <c r="L285" s="1">
        <v>8</v>
      </c>
      <c r="M285" s="1">
        <v>1.5330999999999999</v>
      </c>
      <c r="N285" s="1">
        <v>3.6639506145026401</v>
      </c>
      <c r="O285" s="1">
        <f t="shared" si="12"/>
        <v>5.0359990909090895</v>
      </c>
      <c r="P285" s="1">
        <f t="shared" si="13"/>
        <v>0.67970090909091052</v>
      </c>
      <c r="Q285" s="1">
        <f t="shared" si="14"/>
        <v>1</v>
      </c>
    </row>
    <row r="286" spans="1:17" s="1" customFormat="1" x14ac:dyDescent="0.2">
      <c r="A286" s="1" t="s">
        <v>334</v>
      </c>
      <c r="B286" s="1">
        <v>1</v>
      </c>
      <c r="C286" s="1">
        <v>-0.62492999999999999</v>
      </c>
      <c r="E286" s="1" t="s">
        <v>60</v>
      </c>
      <c r="F286" s="1" t="s">
        <v>111</v>
      </c>
      <c r="G286" s="1" t="s">
        <v>62</v>
      </c>
      <c r="H286" s="1">
        <v>10</v>
      </c>
      <c r="I286" s="1">
        <v>-0.77134100000000005</v>
      </c>
      <c r="J286" s="1">
        <v>0.73984927907198295</v>
      </c>
      <c r="K286" s="1" t="s">
        <v>112</v>
      </c>
      <c r="L286" s="1">
        <v>8</v>
      </c>
      <c r="M286" s="1">
        <v>-0.57354125</v>
      </c>
      <c r="N286" s="1">
        <v>1.08103701105449</v>
      </c>
      <c r="O286" s="1">
        <f t="shared" si="12"/>
        <v>-1.3448822499999999</v>
      </c>
      <c r="P286" s="1">
        <f t="shared" si="13"/>
        <v>0.71995224999999996</v>
      </c>
      <c r="Q286" s="1">
        <f t="shared" si="14"/>
        <v>1</v>
      </c>
    </row>
    <row r="287" spans="1:17" s="1" customFormat="1" x14ac:dyDescent="0.2">
      <c r="A287" s="1" t="s">
        <v>335</v>
      </c>
      <c r="B287" s="1">
        <v>4</v>
      </c>
      <c r="C287" s="1">
        <v>-0.63854750000000005</v>
      </c>
      <c r="D287" s="1">
        <v>0.89847951842265095</v>
      </c>
      <c r="E287" s="1" t="s">
        <v>76</v>
      </c>
      <c r="F287" s="1" t="s">
        <v>96</v>
      </c>
      <c r="G287" s="1" t="s">
        <v>77</v>
      </c>
      <c r="H287" s="1">
        <v>7</v>
      </c>
      <c r="I287" s="1">
        <v>-0.69767571428571395</v>
      </c>
      <c r="J287" s="1">
        <v>1.37870291931531</v>
      </c>
      <c r="K287" s="1" t="s">
        <v>97</v>
      </c>
      <c r="L287" s="1">
        <v>11</v>
      </c>
      <c r="M287" s="1">
        <v>-0.67713818181818197</v>
      </c>
      <c r="N287" s="1">
        <v>0.53652474380625104</v>
      </c>
      <c r="O287" s="1">
        <f t="shared" si="12"/>
        <v>-1.374813896103896</v>
      </c>
      <c r="P287" s="1">
        <f t="shared" si="13"/>
        <v>0.73626639610389599</v>
      </c>
      <c r="Q287" s="1">
        <f t="shared" si="14"/>
        <v>1</v>
      </c>
    </row>
    <row r="288" spans="1:17" s="1" customFormat="1" x14ac:dyDescent="0.2">
      <c r="A288" s="1" t="s">
        <v>336</v>
      </c>
      <c r="B288" s="1">
        <v>6</v>
      </c>
      <c r="C288" s="1">
        <v>0.69875166666666599</v>
      </c>
      <c r="D288" s="1">
        <v>1.5892029553385101</v>
      </c>
      <c r="E288" s="1" t="s">
        <v>73</v>
      </c>
      <c r="F288" s="1" t="s">
        <v>66</v>
      </c>
      <c r="G288" s="1" t="s">
        <v>74</v>
      </c>
      <c r="H288" s="1">
        <v>7</v>
      </c>
      <c r="I288" s="1">
        <v>-3.2529999999999899E-2</v>
      </c>
      <c r="J288" s="1">
        <v>1.4564495190817</v>
      </c>
      <c r="K288" s="1" t="s">
        <v>67</v>
      </c>
      <c r="L288" s="1">
        <v>7</v>
      </c>
      <c r="M288" s="1">
        <v>-3.6201428571428503E-2</v>
      </c>
      <c r="N288" s="1">
        <v>1.14054237817552</v>
      </c>
      <c r="O288" s="1">
        <f t="shared" si="12"/>
        <v>-6.8731428571428402E-2</v>
      </c>
      <c r="P288" s="1">
        <f t="shared" si="13"/>
        <v>0.76748309523809444</v>
      </c>
      <c r="Q288" s="1">
        <f t="shared" si="14"/>
        <v>1</v>
      </c>
    </row>
    <row r="289" spans="1:17" s="1" customFormat="1" x14ac:dyDescent="0.2">
      <c r="A289" s="1" t="s">
        <v>337</v>
      </c>
      <c r="B289" s="1">
        <v>2</v>
      </c>
      <c r="C289" s="1">
        <v>0.97419999999999995</v>
      </c>
      <c r="D289" s="1">
        <v>0.349735013974866</v>
      </c>
      <c r="E289" s="1" t="s">
        <v>103</v>
      </c>
      <c r="F289" s="1" t="s">
        <v>51</v>
      </c>
      <c r="G289" s="1" t="s">
        <v>104</v>
      </c>
      <c r="H289" s="1">
        <v>9</v>
      </c>
      <c r="I289" s="1">
        <v>-0.102438888888888</v>
      </c>
      <c r="J289" s="1">
        <v>1.10975557567245</v>
      </c>
      <c r="K289" s="1" t="s">
        <v>29</v>
      </c>
      <c r="L289" s="1">
        <v>11</v>
      </c>
      <c r="M289" s="1">
        <v>0.28300999999999998</v>
      </c>
      <c r="N289" s="1">
        <v>1.4668923681374799</v>
      </c>
      <c r="O289" s="1">
        <f t="shared" si="12"/>
        <v>0.18057111111111199</v>
      </c>
      <c r="P289" s="1">
        <f t="shared" si="13"/>
        <v>0.79362888888888794</v>
      </c>
      <c r="Q289" s="1">
        <f t="shared" si="14"/>
        <v>1</v>
      </c>
    </row>
    <row r="290" spans="1:17" x14ac:dyDescent="0.2">
      <c r="A290" t="s">
        <v>338</v>
      </c>
      <c r="B290">
        <v>1</v>
      </c>
      <c r="C290">
        <v>1.0636000000000001</v>
      </c>
      <c r="E290" t="s">
        <v>103</v>
      </c>
      <c r="F290" t="s">
        <v>115</v>
      </c>
      <c r="G290" t="s">
        <v>104</v>
      </c>
      <c r="H290">
        <v>9</v>
      </c>
      <c r="I290">
        <v>-0.102438888888888</v>
      </c>
      <c r="J290">
        <v>1.10975557567245</v>
      </c>
      <c r="K290" t="s">
        <v>117</v>
      </c>
      <c r="L290">
        <v>9</v>
      </c>
      <c r="M290">
        <v>0.137493333333333</v>
      </c>
      <c r="N290">
        <v>1.4100316225354601</v>
      </c>
      <c r="O290">
        <f t="shared" si="12"/>
        <v>3.5054444444444999E-2</v>
      </c>
      <c r="P290">
        <f t="shared" si="13"/>
        <v>1.0285455555555552</v>
      </c>
      <c r="Q290">
        <f t="shared" si="14"/>
        <v>1</v>
      </c>
    </row>
    <row r="291" spans="1:17" x14ac:dyDescent="0.2">
      <c r="A291" t="s">
        <v>339</v>
      </c>
      <c r="B291">
        <v>2</v>
      </c>
      <c r="C291">
        <v>0.89944999999999997</v>
      </c>
      <c r="D291">
        <v>2.9415642097360299E-2</v>
      </c>
      <c r="E291" t="s">
        <v>55</v>
      </c>
      <c r="F291" t="s">
        <v>96</v>
      </c>
      <c r="G291" t="s">
        <v>56</v>
      </c>
      <c r="H291">
        <v>10</v>
      </c>
      <c r="I291">
        <v>0.388548</v>
      </c>
      <c r="J291">
        <v>0.94956471628729799</v>
      </c>
      <c r="K291" t="s">
        <v>97</v>
      </c>
      <c r="L291">
        <v>11</v>
      </c>
      <c r="M291">
        <v>-0.67713818181818197</v>
      </c>
      <c r="N291">
        <v>0.53652474380625104</v>
      </c>
      <c r="O291">
        <f t="shared" si="12"/>
        <v>-0.28859018181818197</v>
      </c>
      <c r="P291">
        <f t="shared" si="13"/>
        <v>1.1880401818181818</v>
      </c>
      <c r="Q291">
        <f t="shared" si="14"/>
        <v>1</v>
      </c>
    </row>
    <row r="292" spans="1:17" x14ac:dyDescent="0.2">
      <c r="A292" t="s">
        <v>340</v>
      </c>
      <c r="B292">
        <v>1</v>
      </c>
      <c r="C292">
        <v>2.6865999999999999</v>
      </c>
      <c r="E292" t="s">
        <v>85</v>
      </c>
      <c r="F292" t="s">
        <v>47</v>
      </c>
      <c r="G292" t="s">
        <v>86</v>
      </c>
      <c r="H292">
        <v>11</v>
      </c>
      <c r="I292">
        <v>0.89274545454545395</v>
      </c>
      <c r="J292">
        <v>0.61421292855757503</v>
      </c>
      <c r="K292" t="s">
        <v>48</v>
      </c>
      <c r="L292">
        <v>13</v>
      </c>
      <c r="M292">
        <v>0.39538538461538397</v>
      </c>
      <c r="N292">
        <v>1.9995421937267499</v>
      </c>
      <c r="O292">
        <f t="shared" si="12"/>
        <v>1.2881308391608379</v>
      </c>
      <c r="P292">
        <f t="shared" si="13"/>
        <v>1.398469160839162</v>
      </c>
      <c r="Q292">
        <f t="shared" si="14"/>
        <v>1</v>
      </c>
    </row>
    <row r="293" spans="1:17" x14ac:dyDescent="0.2">
      <c r="A293" t="s">
        <v>341</v>
      </c>
      <c r="B293">
        <v>3</v>
      </c>
      <c r="C293">
        <v>-2.30733333333333E-2</v>
      </c>
      <c r="D293">
        <v>1.33433226002121</v>
      </c>
      <c r="E293" t="s">
        <v>60</v>
      </c>
      <c r="F293" t="s">
        <v>96</v>
      </c>
      <c r="G293" t="s">
        <v>62</v>
      </c>
      <c r="H293">
        <v>10</v>
      </c>
      <c r="I293">
        <v>-0.77134100000000005</v>
      </c>
      <c r="J293">
        <v>0.73984927907198295</v>
      </c>
      <c r="K293" t="s">
        <v>97</v>
      </c>
      <c r="L293">
        <v>11</v>
      </c>
      <c r="M293">
        <v>-0.67713818181818197</v>
      </c>
      <c r="N293">
        <v>0.53652474380625104</v>
      </c>
      <c r="O293">
        <f t="shared" si="12"/>
        <v>-1.4484791818181821</v>
      </c>
      <c r="P293">
        <f t="shared" si="13"/>
        <v>1.4254058484848489</v>
      </c>
      <c r="Q293">
        <f t="shared" si="14"/>
        <v>1</v>
      </c>
    </row>
    <row r="294" spans="1:17" x14ac:dyDescent="0.2">
      <c r="A294" t="s">
        <v>342</v>
      </c>
      <c r="B294">
        <v>2</v>
      </c>
      <c r="C294">
        <v>0.87078499999999903</v>
      </c>
      <c r="D294">
        <v>0.142305239713792</v>
      </c>
      <c r="E294" t="s">
        <v>99</v>
      </c>
      <c r="F294" t="s">
        <v>96</v>
      </c>
      <c r="G294" t="s">
        <v>100</v>
      </c>
      <c r="H294">
        <v>9</v>
      </c>
      <c r="I294">
        <v>-8.8165555555555497E-2</v>
      </c>
      <c r="J294">
        <v>1.19505751278035</v>
      </c>
      <c r="K294" t="s">
        <v>97</v>
      </c>
      <c r="L294">
        <v>11</v>
      </c>
      <c r="M294">
        <v>-0.67713818181818197</v>
      </c>
      <c r="N294">
        <v>0.53652474380625104</v>
      </c>
      <c r="O294">
        <f t="shared" si="12"/>
        <v>-0.76530373737373747</v>
      </c>
      <c r="P294">
        <f t="shared" si="13"/>
        <v>1.6360887373737365</v>
      </c>
      <c r="Q294">
        <f t="shared" si="14"/>
        <v>1</v>
      </c>
    </row>
    <row r="295" spans="1:17" x14ac:dyDescent="0.2">
      <c r="A295" t="s">
        <v>343</v>
      </c>
      <c r="B295">
        <v>1</v>
      </c>
      <c r="C295">
        <v>1.4482999999999999</v>
      </c>
      <c r="E295" t="s">
        <v>60</v>
      </c>
      <c r="F295" t="s">
        <v>70</v>
      </c>
      <c r="G295" t="s">
        <v>62</v>
      </c>
      <c r="H295">
        <v>10</v>
      </c>
      <c r="I295">
        <v>-0.77134100000000005</v>
      </c>
      <c r="J295">
        <v>0.73984927907198295</v>
      </c>
      <c r="K295" t="s">
        <v>71</v>
      </c>
      <c r="L295">
        <v>9</v>
      </c>
      <c r="M295">
        <v>0.436627777777777</v>
      </c>
      <c r="N295">
        <v>1.6967771336844499</v>
      </c>
      <c r="O295">
        <f t="shared" si="12"/>
        <v>-0.33471322222222305</v>
      </c>
      <c r="P295">
        <f t="shared" si="13"/>
        <v>1.783013222222223</v>
      </c>
      <c r="Q295">
        <f t="shared" si="14"/>
        <v>1</v>
      </c>
    </row>
    <row r="296" spans="1:17" x14ac:dyDescent="0.2">
      <c r="A296" t="s">
        <v>344</v>
      </c>
      <c r="B296">
        <v>3</v>
      </c>
      <c r="C296">
        <v>5.15764333333333</v>
      </c>
      <c r="D296">
        <v>5.1281140496905202</v>
      </c>
      <c r="E296" t="s">
        <v>20</v>
      </c>
      <c r="F296" t="s">
        <v>96</v>
      </c>
      <c r="G296" t="s">
        <v>22</v>
      </c>
      <c r="H296">
        <v>11</v>
      </c>
      <c r="I296">
        <v>3.5028990909090898</v>
      </c>
      <c r="J296">
        <v>3.7668957679777999</v>
      </c>
      <c r="K296" t="s">
        <v>97</v>
      </c>
      <c r="L296">
        <v>11</v>
      </c>
      <c r="M296">
        <v>-0.67713818181818197</v>
      </c>
      <c r="N296">
        <v>0.53652474380625104</v>
      </c>
      <c r="O296">
        <f t="shared" si="12"/>
        <v>2.8257609090909077</v>
      </c>
      <c r="P296">
        <f t="shared" si="13"/>
        <v>2.3318824242424223</v>
      </c>
      <c r="Q296">
        <f t="shared" si="1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